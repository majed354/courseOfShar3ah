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c712ca85d34d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لخص" sheetId="1" r:id="R533dda6f50344609"/>
    <x:sheet xmlns:r="http://schemas.openxmlformats.org/officeDocument/2006/relationships" name="المفقودات 116" sheetId="2" r:id="Refb5104c484d4658"/>
    <x:sheet xmlns:r="http://schemas.openxmlformats.org/officeDocument/2006/relationships" name="مواضع الظهور" sheetId="3" r:id="Re971caa0d6124f29"/>
    <x:sheet xmlns:r="http://schemas.openxmlformats.org/officeDocument/2006/relationships" name="حالات تحتاج حسم" sheetId="4" r:id="R41dc3c36f9b84c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17212B"/>
      <x:name val="Carlito"/>
    </x:font>
    <x:font>
      <x:b/>
      <x:sz val="11"/>
      <x:color rgb="FF0F6B78"/>
      <x:name val="Carlito"/>
    </x:font>
    <x:font>
      <x:b/>
      <x:sz val="11"/>
      <x:color rgb="FF173B57"/>
      <x:name val="Carlito"/>
    </x:font>
    <x:font>
      <x:sz val="11"/>
      <x:color rgb="FF5F6B7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B57"/>
      </x:patternFill>
    </x:fill>
    <x:fill>
      <x:patternFill patternType="solid">
        <x:fgColor rgb="FFE8F3F8"/>
      </x:patternFill>
    </x:fill>
    <x:fill>
      <x:patternFill patternType="solid">
        <x:fgColor rgb="FFDDF2F2"/>
      </x:patternFill>
    </x:fill>
    <x:fill>
      <x:patternFill patternType="solid">
        <x:fgColor rgb="FFFFFFFF"/>
      </x:patternFill>
    </x:fill>
    <x:fill>
      <x:patternFill patternType="solid">
        <x:fgColor rgb="FF0F6B78"/>
      </x:patternFill>
    </x:fill>
  </x:fills>
  <x:borders count="16">
    <x:border/>
    <x:border>
      <x:left style="thin">
        <x:color rgb="FFCCD6DD"/>
      </x:left>
      <x:top style="thin">
        <x:color rgb="FFCCD6DD"/>
      </x:top>
      <x:bottom style="thin">
        <x:color rgb="FFCCD6DD"/>
      </x:bottom>
    </x:border>
    <x:border>
      <x:top style="thin">
        <x:color rgb="FFCCD6DD"/>
      </x:top>
      <x:bottom style="thin">
        <x:color rgb="FFCCD6DD"/>
      </x:bottom>
    </x:border>
    <x:border>
      <x:right style="thin">
        <x:color rgb="FFCCD6DD"/>
      </x:right>
      <x:top style="thin">
        <x:color rgb="FFCCD6DD"/>
      </x:top>
      <x:bottom style="thin">
        <x:color rgb="FFCCD6DD"/>
      </x:bottom>
    </x:border>
    <x:border>
      <x:left style="thin">
        <x:color rgb="FFCCD6DD"/>
      </x:left>
      <x:top style="thin">
        <x:color rgb="FFCCD6DD"/>
      </x:top>
    </x:border>
    <x:border>
      <x:right style="thin">
        <x:color rgb="FFCCD6DD"/>
      </x:right>
      <x:top style="thin">
        <x:color rgb="FFCCD6DD"/>
      </x:top>
    </x:border>
    <x:border>
      <x:left style="thin">
        <x:color rgb="FFCCD6DD"/>
      </x:left>
      <x:bottom style="thin">
        <x:color rgb="FFCCD6DD"/>
      </x:bottom>
    </x:border>
    <x:border>
      <x:right style="thin">
        <x:color rgb="FFCCD6DD"/>
      </x:right>
      <x:bottom style="thin">
        <x:color rgb="FFCCD6DD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CCD6DD"/>
      </x:bottom>
    </x:border>
    <x:border>
      <x:top style="thin">
        <x:color rgb="FFCCD6DD"/>
      </x:top>
      <x:bottom style="double">
        <x:color rgb="FF0F6B78"/>
      </x:bottom>
    </x:border>
    <x:border>
      <x:top style="thin">
        <x:color rgb="FFCCD6DD"/>
      </x:top>
    </x:border>
    <x:border>
      <x:left style="thin">
        <x:color rgb="FFCCD6DD"/>
      </x:left>
    </x:border>
    <x:border>
      <x:right style="thin">
        <x:color rgb="FFCCD6DD"/>
      </x:right>
    </x:border>
  </x:borders>
  <x:cellStyleXfs count="1">
    <x:xf numFmtId="0" fontId="0" fillId="0" borderId="0"/>
  </x:cellStyleXfs>
  <x:cellXfs count="1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right" wrapText="1"/>
    </x:xf>
    <x:xf numFmtId="0" fontId="2" fillId="3" borderId="2" xfId="0" applyNumberFormat="1" applyFont="1" applyFill="1" applyBorder="1" applyAlignment="1">
      <x:alignment horizontal="right" wrapText="1"/>
    </x:xf>
    <x:xf numFmtId="0" fontId="2" fillId="3" borderId="3" xfId="0" applyNumberFormat="1" applyFont="1" applyFill="1" applyBorder="1" applyAlignment="1">
      <x:alignment horizontal="right" wrapText="1"/>
    </x:xf>
    <x:xf numFmtId="0" fontId="2" fillId="3" borderId="1" xfId="0" applyNumberFormat="1" applyFont="1" applyFill="1" applyBorder="1" applyAlignment="1">
      <x:alignment horizontal="right" vertical="center" wrapText="1"/>
    </x:xf>
    <x:xf numFmtId="0" fontId="2" fillId="3" borderId="2" xfId="0" applyNumberFormat="1" applyFont="1" applyFill="1" applyBorder="1" applyAlignment="1">
      <x:alignment horizontal="right" vertical="center" wrapText="1"/>
    </x:xf>
    <x:xf numFmtId="0" fontId="2" fillId="3" borderId="3" xfId="0" applyNumberFormat="1" applyFont="1" applyFill="1" applyBorder="1" applyAlignment="1">
      <x:alignment horizontal="righ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7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8" xfId="0" applyNumberFormat="1" applyFont="1" applyFill="1" applyBorder="1"/>
    <x:xf numFmtId="0" fontId="1" fillId="6" borderId="9" xfId="0" applyNumberFormat="1" applyFont="1" applyFill="1" applyBorder="1"/>
    <x:xf numFmtId="0" fontId="1" fillId="6" borderId="10" xfId="0" applyNumberFormat="1" applyFont="1" applyFill="1" applyBorder="1"/>
    <x:xf numFmtId="0" fontId="1" fillId="6" borderId="8" xfId="0" applyNumberFormat="1" applyFont="1" applyFill="1" applyBorder="1" applyAlignment="1">
      <x:alignment wrapText="1"/>
    </x:xf>
    <x:xf numFmtId="0" fontId="1" fillId="6" borderId="9" xfId="0" applyNumberFormat="1" applyFont="1" applyFill="1" applyBorder="1" applyAlignment="1">
      <x:alignment wrapText="1"/>
    </x:xf>
    <x:xf numFmtId="0" fontId="1" fillId="6" borderId="10" xfId="0" applyNumberFormat="1" applyFont="1" applyFill="1" applyBorder="1" applyAlignment="1">
      <x:alignment wrapText="1"/>
    </x:xf>
    <x:xf numFmtId="0" fontId="1" fillId="6" borderId="8" xfId="0" applyNumberFormat="1" applyFont="1" applyFill="1" applyBorder="1" applyAlignment="1">
      <x:alignment horizontal="center" wrapText="1"/>
    </x:xf>
    <x:xf numFmtId="0" fontId="1" fillId="6" borderId="9" xfId="0" applyNumberFormat="1" applyFont="1" applyFill="1" applyBorder="1" applyAlignment="1">
      <x:alignment horizontal="center" wrapText="1"/>
    </x:xf>
    <x:xf numFmtId="0" fontId="1" fillId="6" borderId="10" xfId="0" applyNumberFormat="1" applyFont="1" applyFill="1" applyBorder="1" applyAlignment="1">
      <x:alignment horizontal="center" wrapText="1"/>
    </x:xf>
    <x:xf numFmtId="0" fontId="1" fillId="6" borderId="8" xfId="0" applyNumberFormat="1" applyFont="1" applyFill="1" applyBorder="1" applyAlignment="1">
      <x:alignment horizontal="center" vertical="center" wrapText="1"/>
    </x:xf>
    <x:xf numFmtId="0" fontId="1" fillId="6" borderId="9" xfId="0" applyNumberFormat="1" applyFont="1" applyFill="1" applyBorder="1" applyAlignment="1">
      <x:alignment horizontal="center" vertical="center" wrapText="1"/>
    </x:xf>
    <x:xf numFmtId="0" fontId="1" fillId="6" borderId="1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1" xfId="0" applyNumberFormat="1" applyFont="1" applyFill="1" applyBorder="1"/>
    <x:xf numFmtId="0" fontId="2" fillId="0" borderId="2" xfId="0" applyNumberFormat="1" applyFont="1" applyFill="1" applyBorder="1"/>
    <x:xf numFmtId="0" fontId="2" fillId="0" borderId="1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/>
    <x:xf numFmtId="0" fontId="2" fillId="3" borderId="13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11" xfId="0" applyNumberFormat="1" applyFont="1" applyFill="1" applyBorder="1"/>
    <x:xf numFmtId="0" fontId="2" fillId="3" borderId="7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right" wrapText="1"/>
    </x:xf>
    <x:xf numFmtId="0" fontId="2" fillId="3" borderId="13" xfId="0" applyNumberFormat="1" applyFont="1" applyFill="1" applyBorder="1" applyAlignment="1">
      <x:alignment horizontal="right" wrapText="1"/>
    </x:xf>
    <x:xf numFmtId="0" fontId="2" fillId="3" borderId="5" xfId="0" applyNumberFormat="1" applyFont="1" applyFill="1" applyBorder="1" applyAlignment="1">
      <x:alignment horizontal="right" wrapText="1"/>
    </x:xf>
    <x:xf numFmtId="0" fontId="2" fillId="3" borderId="6" xfId="0" applyNumberFormat="1" applyFont="1" applyFill="1" applyBorder="1" applyAlignment="1">
      <x:alignment horizontal="right" wrapText="1"/>
    </x:xf>
    <x:xf numFmtId="0" fontId="2" fillId="3" borderId="11" xfId="0" applyNumberFormat="1" applyFont="1" applyFill="1" applyBorder="1" applyAlignment="1">
      <x:alignment horizontal="right" wrapText="1"/>
    </x:xf>
    <x:xf numFmtId="0" fontId="2" fillId="3" borderId="7" xfId="0" applyNumberFormat="1" applyFont="1" applyFill="1" applyBorder="1" applyAlignment="1">
      <x:alignment horizontal="right" wrapText="1"/>
    </x:xf>
    <x:xf numFmtId="0" fontId="2" fillId="3" borderId="4" xfId="0" applyNumberFormat="1" applyFont="1" applyFill="1" applyBorder="1" applyAlignment="1">
      <x:alignment horizontal="right" vertical="center" wrapText="1"/>
    </x:xf>
    <x:xf numFmtId="0" fontId="2" fillId="3" borderId="13" xfId="0" applyNumberFormat="1" applyFont="1" applyFill="1" applyBorder="1" applyAlignment="1">
      <x:alignment horizontal="right" vertical="center" wrapText="1"/>
    </x:xf>
    <x:xf numFmtId="0" fontId="2" fillId="3" borderId="5" xfId="0" applyNumberFormat="1" applyFont="1" applyFill="1" applyBorder="1" applyAlignment="1">
      <x:alignment horizontal="right" vertical="center" wrapText="1"/>
    </x:xf>
    <x:xf numFmtId="0" fontId="2" fillId="3" borderId="6" xfId="0" applyNumberFormat="1" applyFont="1" applyFill="1" applyBorder="1" applyAlignment="1">
      <x:alignment horizontal="right" vertical="center" wrapText="1"/>
    </x:xf>
    <x:xf numFmtId="0" fontId="2" fillId="3" borderId="11" xfId="0" applyNumberFormat="1" applyFont="1" applyFill="1" applyBorder="1" applyAlignment="1">
      <x:alignment horizontal="right" vertical="center" wrapText="1"/>
    </x:xf>
    <x:xf numFmtId="0" fontId="2" fillId="3" borderId="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11" xfId="0" applyNumberFormat="1" applyFont="1" applyFill="1" applyBorder="1"/>
    <x:xf numFmtId="200" fontId="2" fillId="0" borderId="2" xfId="0" applyNumberFormat="1" applyFont="1" applyFill="1" applyBorder="1"/>
    <x:xf numFmtId="200" fontId="2" fillId="0" borderId="11" xfId="0" applyNumberFormat="1" applyFont="1" applyFill="1" applyBorder="1" applyAlignment="1">
      <x:alignment wrapText="1"/>
    </x:xf>
    <x:xf numFmtId="200" fontId="2" fillId="0" borderId="2" xfId="0" applyNumberFormat="1" applyFont="1" applyFill="1" applyBorder="1" applyAlignment="1">
      <x:alignment wrapText="1"/>
    </x:xf>
    <x:xf numFmtId="200" fontId="2" fillId="0" borderId="11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14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horizontal="right" wrapText="1"/>
    </x:xf>
    <x:xf numFmtId="0" fontId="2" fillId="3" borderId="0" xfId="0" applyNumberFormat="1" applyFont="1" applyFill="1" applyBorder="1" applyAlignment="1">
      <x:alignment horizontal="right" wrapText="1"/>
    </x:xf>
    <x:xf numFmtId="0" fontId="2" fillId="3" borderId="15" xfId="0" applyNumberFormat="1" applyFont="1" applyFill="1" applyBorder="1" applyAlignment="1">
      <x:alignment horizontal="right" wrapText="1"/>
    </x:xf>
    <x:xf numFmtId="0" fontId="2" fillId="3" borderId="14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right" vertical="center" wrapText="1"/>
    </x:xf>
    <x:xf numFmtId="0" fontId="2" fillId="3" borderId="15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200" fontId="4" fillId="5" borderId="4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5" fillId="0" borderId="1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201" fontId="2" fillId="0" borderId="11" xfId="0" applyNumberFormat="1" applyFont="1" applyFill="1" applyBorder="1" applyAlignment="1">
      <x:alignment horizontal="center" vertical="center" wrapText="1"/>
    </x:xf>
    <x:xf numFmtId="201" fontId="2" fillId="0" borderId="2" xfId="0" applyNumberFormat="1" applyFont="1" applyFill="1" applyBorder="1" applyAlignment="1">
      <x:alignment horizontal="center" vertical="center" wrapText="1"/>
    </x:xf>
    <x:xf numFmtId="201" fontId="2" fillId="0" borderId="11" xfId="0" applyNumberFormat="1" applyFont="1" applyFill="1" applyBorder="1" applyAlignment="1">
      <x:alignment vertical="center" wrapText="1"/>
    </x:xf>
    <x:xf numFmtId="201" fontId="2" fillId="0" borderId="2" xfId="0" applyNumberFormat="1" applyFont="1" applyFill="1" applyBorder="1" applyAlignment="1">
      <x:alignment vertical="center" wrapText="1"/>
    </x:xf>
    <x:xf numFmtId="201" fontId="3" fillId="4" borderId="1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26734D"/>
      </x:font>
      <x:fill>
        <x:patternFill patternType="solid">
          <x:bgColor rgb="FFE2F3E9"/>
        </x:patternFill>
      </x:fill>
    </x:dxf>
    <x:dxf>
      <x:font>
        <x:b/>
        <x:color rgb="FF24628A"/>
      </x:font>
      <x:fill>
        <x:patternFill patternType="solid">
          <x:bgColor rgb="FFE4F0F8"/>
        </x:patternFill>
      </x:fill>
    </x:dxf>
    <x:dxf>
      <x:font>
        <x:b/>
        <x:color rgb="FFB88922"/>
      </x:font>
      <x:fill>
        <x:patternFill patternType="solid">
          <x:bgColor rgb="FFFFF4D6"/>
        </x:patternFill>
      </x:fill>
    </x:dxf>
    <x:dxf>
      <x:font>
        <x:b/>
        <x:color rgb="FFB88922"/>
      </x:font>
      <x:fill>
        <x:patternFill patternType="solid">
          <x:bgColor rgb="FFFFF4D6"/>
        </x:patternFill>
      </x:fill>
    </x:dxf>
    <x:dxf>
      <x:font>
        <x:b/>
        <x:color rgb="FFB88922"/>
      </x:font>
      <x:fill>
        <x:patternFill patternType="solid">
          <x:bgColor rgb="FFFFF4D6"/>
        </x:patternFill>
      </x:fill>
    </x:dxf>
    <x:dxf>
      <x:font>
        <x:b/>
        <x:color rgb="FFB88922"/>
      </x:font>
      <x:fill>
        <x:patternFill patternType="solid">
          <x:bgColor rgb="FFFFF4D6"/>
        </x:patternFill>
      </x:fill>
    </x:dxf>
    <x:dxf>
      <x:font>
        <x:b/>
        <x:color rgb="FF26734D"/>
      </x:font>
      <x:fill>
        <x:patternFill patternType="solid">
          <x:bgColor rgb="FFE2F3E9"/>
        </x:patternFill>
      </x:fill>
    </x:dxf>
    <x:dxf>
      <x:font>
        <x:b/>
        <x:color rgb="FF24628A"/>
      </x:font>
      <x:fill>
        <x:patternFill patternType="solid">
          <x:bgColor rgb="FFE4F0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659e3d08054e5d" /><Relationship Type="http://schemas.openxmlformats.org/officeDocument/2006/relationships/theme" Target="/xl/theme/theme1.xml" Id="R86491c4738204051" /><Relationship Type="http://schemas.openxmlformats.org/officeDocument/2006/relationships/sharedStrings" Target="/xl/sharedStrings.xml" Id="R3c31b2946edd4e2a" /><Relationship Type="http://schemas.openxmlformats.org/officeDocument/2006/relationships/worksheet" Target="/xl/worksheets/sheet1.xml" Id="R533dda6f50344609" /><Relationship Type="http://schemas.openxmlformats.org/officeDocument/2006/relationships/worksheet" Target="/xl/worksheets/sheet2.xml" Id="Refb5104c484d4658" /><Relationship Type="http://schemas.openxmlformats.org/officeDocument/2006/relationships/worksheet" Target="/xl/worksheets/sheet3.xml" Id="Re971caa0d6124f29" /><Relationship Type="http://schemas.openxmlformats.org/officeDocument/2006/relationships/worksheet" Target="/xl/worksheets/sheet4.xml" Id="R41dc3c36f9b84c84" /></Relationships>
</file>

<file path=xl/tables/table1.xml><?xml version="1.0" encoding="utf-8"?>
<x:table xmlns:x="http://schemas.openxmlformats.org/spreadsheetml/2006/main" id="1" name="MissingSpecsTable" displayName="MissingSpecsTable" ref="A4:S120" headerRowCount="1" totalsRowCount="0" totalsRowShown="0">
  <x:autoFilter ref="A4:S120"/>
  <x:tableColumns count="19">
    <x:tableColumn id="1" name="م"/>
    <x:tableColumn id="2" name="رمز المقرر"/>
    <x:tableColumn id="3" name="اسم المقرر"/>
    <x:tableColumn id="4" name="نطاق الخطة"/>
    <x:tableColumn id="5" name="ظهورات قديمة"/>
    <x:tableColumn id="6" name="ظهورات حديثة"/>
    <x:tableColumn id="7" name="إجمالي الظهورات"/>
    <x:tableColumn id="8" name="البرامج"/>
    <x:tableColumn id="9" name="الدرجات"/>
    <x:tableColumn id="10" name="الإصدارات"/>
    <x:tableColumn id="11" name="الساعات"/>
    <x:tableColumn id="12" name="المستويات"/>
    <x:tableColumn id="13" name="الفئات"/>
    <x:tableColumn id="14" name="تنبيه الساعات"/>
    <x:tableColumn id="15" name="اسم الملف المقترح"/>
    <x:tableColumn id="16" name="حالة التوفير"/>
    <x:tableColumn id="17" name="رابط أو مسار الملف"/>
    <x:tableColumn id="18" name="ملاحظات التزويد"/>
    <x:tableColumn id="19" name="مفتاح الهوية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resolvedOccurrencesTable" displayName="UnresolvedOccurrencesTable" ref="A4:P168" headerRowCount="1" totalsRowCount="0" totalsRowShown="0">
  <x:autoFilter ref="A4:P168"/>
  <x:tableColumns count="16">
    <x:tableColumn id="1" name="م"/>
    <x:tableColumn id="2" name="المجموعة"/>
    <x:tableColumn id="3" name="رمز المقرر"/>
    <x:tableColumn id="4" name="اسم المقرر"/>
    <x:tableColumn id="5" name="البرنامج"/>
    <x:tableColumn id="6" name="الدرجة"/>
    <x:tableColumn id="7" name="نوع الخطة"/>
    <x:tableColumn id="8" name="الإصدار"/>
    <x:tableColumn id="9" name="المستوى"/>
    <x:tableColumn id="10" name="الفصل"/>
    <x:tableColumn id="11" name="الساعات"/>
    <x:tableColumn id="12" name="نوع المقرر"/>
    <x:tableColumn id="13" name="الفئة"/>
    <x:tableColumn id="14" name="القسم"/>
    <x:tableColumn id="15" name="ملف مصدر الخطة"/>
    <x:tableColumn id="16" name="مفتاح الهوية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mbiguousCandidatesTable" displayName="AmbiguousCandidatesTable" ref="A4:N9" headerRowCount="1" totalsRowCount="0" totalsRowShown="0">
  <x:autoFilter ref="A4:N9"/>
  <x:tableColumns count="14">
    <x:tableColumn id="1" name="م"/>
    <x:tableColumn id="2" name="رمز المقرر"/>
    <x:tableColumn id="3" name="اسم المقرر"/>
    <x:tableColumn id="4" name="نطاق الخطة"/>
    <x:tableColumn id="5" name="عدد الظهورات"/>
    <x:tableColumn id="6" name="البرامج والدرجات"/>
    <x:tableColumn id="7" name="رمز المرشح"/>
    <x:tableColumn id="8" name="اسم المرشح"/>
    <x:tableColumn id="9" name="ساعات المرشح"/>
    <x:tableColumn id="10" name="ملفات المرشح"/>
    <x:tableColumn id="11" name="سبب عدم الربط"/>
    <x:tableColumn id="12" name="ملفات الدليل"/>
    <x:tableColumn id="13" name="القرار"/>
    <x:tableColumn id="14" name="ملاحظات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84db9684c845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c4d49b8c2047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6b9e59115046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2" hidden="0" customWidth="1"/>
    <x:col min="3" max="3" width="17" hidden="0" customWidth="1"/>
    <x:col min="4" max="4" width="11" hidden="0" customWidth="1"/>
    <x:col min="5" max="5" width="18" hidden="0" customWidth="1"/>
    <x:col min="6" max="6" width="12" hidden="0" customWidth="1"/>
    <x:col min="7" max="7" width="14" hidden="0" customWidth="1"/>
    <x:col min="8" max="8" width="18" hidden="0" customWidth="1"/>
    <x:col min="9" max="9" width="18" hidden="0" customWidth="1"/>
    <x:col min="10" max="10" width="12" hidden="0" customWidth="1"/>
    <x:col min="11" max="11" width="12" hidden="0" customWidth="1"/>
    <x:col min="12" max="12" width="24" hidden="0" customWidth="1"/>
  </x:cols>
  <x:sheetData>
    <x:row r="1" ht="34" customHeight="1">
      <x:c r="A1" s="112" t="str">
        <x:v>حصر توصيفات المقررات التخصصية المفقودة</x:v>
      </x:c>
      <x:c r="B1" s="112" t="str">
        <x:v>حصر توصيفات المقررات التخصصية المفقودة</x:v>
      </x:c>
      <x:c r="C1" s="112" t="str">
        <x:v>حصر توصيفات المقررات التخصصية المفقودة</x:v>
      </x:c>
      <x:c r="D1" s="112" t="str">
        <x:v>حصر توصيفات المقررات التخصصية المفقودة</x:v>
      </x:c>
      <x:c r="E1" s="112" t="str">
        <x:v>حصر توصيفات المقررات التخصصية المفقودة</x:v>
      </x:c>
      <x:c r="F1" s="112" t="str">
        <x:v>حصر توصيفات المقررات التخصصية المفقودة</x:v>
      </x:c>
      <x:c r="G1" s="112" t="str">
        <x:v>حصر توصيفات المقررات التخصصية المفقودة</x:v>
      </x:c>
      <x:c r="H1" s="112" t="str">
        <x:v>حصر توصيفات المقررات التخصصية المفقودة</x:v>
      </x:c>
      <x:c r="I1" s="112" t="str">
        <x:v>حصر توصيفات المقررات التخصصية المفقودة</x:v>
      </x:c>
      <x:c r="J1" s="112" t="str">
        <x:v>حصر توصيفات المقررات التخصصية المفقودة</x:v>
      </x:c>
      <x:c r="K1" s="112" t="str">
        <x:v>حصر توصيفات المقررات التخصصية المفقودة</x:v>
      </x:c>
      <x:c r="L1" s="112" t="str">
        <x:v>حصر توصيفات المقررات التخصصية المفقودة</x:v>
      </x:c>
    </x:row>
    <x:row r="2" ht="42" customHeight="1">
      <x:c r="A2" s="16" t="str">
        <x:v>الحصر مبني على تطابق رمز المقرر واسمه ونطاق الخطة. «حديثة» هنا تعني القيمة «جديدة» في بيانات الموقع، وتشمل إصدار 47 للبكالوريوس وإصدار 1 للدراسات العليا.</x:v>
      </x:c>
      <x:c r="B2" s="17" t="str">
        <x:v>الحصر مبني على تطابق رمز المقرر واسمه ونطاق الخطة. «حديثة» هنا تعني القيمة «جديدة» في بيانات الموقع، وتشمل إصدار 47 للبكالوريوس وإصدار 1 للدراسات العليا.</x:v>
      </x:c>
      <x:c r="C2" s="17" t="str">
        <x:v>الحصر مبني على تطابق رمز المقرر واسمه ونطاق الخطة. «حديثة» هنا تعني القيمة «جديدة» في بيانات الموقع، وتشمل إصدار 47 للبكالوريوس وإصدار 1 للدراسات العليا.</x:v>
      </x:c>
      <x:c r="D2" s="17" t="str">
        <x:v>الحصر مبني على تطابق رمز المقرر واسمه ونطاق الخطة. «حديثة» هنا تعني القيمة «جديدة» في بيانات الموقع، وتشمل إصدار 47 للبكالوريوس وإصدار 1 للدراسات العليا.</x:v>
      </x:c>
      <x:c r="E2" s="17" t="str">
        <x:v>الحصر مبني على تطابق رمز المقرر واسمه ونطاق الخطة. «حديثة» هنا تعني القيمة «جديدة» في بيانات الموقع، وتشمل إصدار 47 للبكالوريوس وإصدار 1 للدراسات العليا.</x:v>
      </x:c>
      <x:c r="F2" s="17" t="str">
        <x:v>الحصر مبني على تطابق رمز المقرر واسمه ونطاق الخطة. «حديثة» هنا تعني القيمة «جديدة» في بيانات الموقع، وتشمل إصدار 47 للبكالوريوس وإصدار 1 للدراسات العليا.</x:v>
      </x:c>
      <x:c r="G2" s="17" t="str">
        <x:v>الحصر مبني على تطابق رمز المقرر واسمه ونطاق الخطة. «حديثة» هنا تعني القيمة «جديدة» في بيانات الموقع، وتشمل إصدار 47 للبكالوريوس وإصدار 1 للدراسات العليا.</x:v>
      </x:c>
      <x:c r="H2" s="17" t="str">
        <x:v>الحصر مبني على تطابق رمز المقرر واسمه ونطاق الخطة. «حديثة» هنا تعني القيمة «جديدة» في بيانات الموقع، وتشمل إصدار 47 للبكالوريوس وإصدار 1 للدراسات العليا.</x:v>
      </x:c>
      <x:c r="I2" s="17" t="str">
        <x:v>الحصر مبني على تطابق رمز المقرر واسمه ونطاق الخطة. «حديثة» هنا تعني القيمة «جديدة» في بيانات الموقع، وتشمل إصدار 47 للبكالوريوس وإصدار 1 للدراسات العليا.</x:v>
      </x:c>
      <x:c r="J2" s="17" t="str">
        <x:v>الحصر مبني على تطابق رمز المقرر واسمه ونطاق الخطة. «حديثة» هنا تعني القيمة «جديدة» في بيانات الموقع، وتشمل إصدار 47 للبكالوريوس وإصدار 1 للدراسات العليا.</x:v>
      </x:c>
      <x:c r="K2" s="17" t="str">
        <x:v>الحصر مبني على تطابق رمز المقرر واسمه ونطاق الخطة. «حديثة» هنا تعني القيمة «جديدة» في بيانات الموقع، وتشمل إصدار 47 للبكالوريوس وإصدار 1 للدراسات العليا.</x:v>
      </x:c>
      <x:c r="L2" s="18" t="str">
        <x:v>الحصر مبني على تطابق رمز المقرر واسمه ونطاق الخطة. «حديثة» هنا تعني القيمة «جديدة» في بيانات الموقع، وتشمل إصدار 47 للبكالوريوس وإصدار 1 للدراسات العليا.</x:v>
      </x:c>
    </x:row>
    <x:row r="3">
      <x:c r="A3" s="113"/>
      <x:c r="B3" s="113"/>
      <x:c r="C3" s="113"/>
      <x:c r="D3" s="113"/>
      <x:c r="E3" s="113"/>
      <x:c r="F3" s="113"/>
      <x:c r="G3" s="113"/>
      <x:c r="H3" s="113"/>
      <x:c r="I3" s="113"/>
      <x:c r="J3" s="113"/>
      <x:c r="K3" s="113"/>
      <x:c r="L3" s="113"/>
    </x:row>
    <x:row r="4">
      <x:c r="A4" s="114" t="str">
        <x:v>مفقود بلا مصدر</x:v>
      </x:c>
      <x:c r="B4" s="115" t="str">
        <x:v>مفقود بلا مصدر</x:v>
      </x:c>
      <x:c r="C4" s="114" t="str">
        <x:v>ظهورات المفقود</x:v>
      </x:c>
      <x:c r="D4" s="115" t="str">
        <x:v>ظهورات المفقود</x:v>
      </x:c>
      <x:c r="E4" s="114" t="str">
        <x:v>حالات تحتاج حسم</x:v>
      </x:c>
      <x:c r="F4" s="115" t="str">
        <x:v>حالات تحتاج حسم</x:v>
      </x:c>
      <x:c r="G4" s="114" t="str">
        <x:v>إجمالي غير مكتمل</x:v>
      </x:c>
      <x:c r="H4" s="115" t="str">
        <x:v>إجمالي غير مكتمل</x:v>
      </x:c>
      <x:c r="I4" s="114" t="str">
        <x:v>تم التزويد</x:v>
      </x:c>
      <x:c r="J4" s="115" t="str">
        <x:v>تم التزويد</x:v>
      </x:c>
      <x:c r="K4" s="114" t="str">
        <x:v>نسبة الإنجاز</x:v>
      </x:c>
      <x:c r="L4" s="115" t="str">
        <x:v>نسبة الإنجاز</x:v>
      </x:c>
    </x:row>
    <x:row r="5">
      <x:c r="A5" s="116" t="n">
        <x:f>COUNTA('المفقودات 116'!$B$5:$B$120)</x:f>
        <x:v>116</x:v>
      </x:c>
      <x:c r="B5" s="117"/>
      <x:c r="C5" s="116" t="n">
        <x:f>SUM('المفقودات 116'!$G$5:$G$120)</x:f>
        <x:v>158</x:v>
      </x:c>
      <x:c r="D5" s="117"/>
      <x:c r="E5" s="116" t="n">
        <x:f>COUNTA('حالات تحتاج حسم'!$B$5:$B$9)</x:f>
        <x:v>5</x:v>
      </x:c>
      <x:c r="F5" s="117"/>
      <x:c r="G5" s="116" t="n">
        <x:f>A5+E5</x:f>
        <x:v>121</x:v>
      </x:c>
      <x:c r="H5" s="117"/>
      <x:c r="I5" s="116" t="n">
        <x:f>COUNTIF('المفقودات 116'!$P$5:$P$120,"تم التزويد")</x:f>
        <x:v>0</x:v>
      </x:c>
      <x:c r="J5" s="117"/>
      <x:c r="K5" s="118" t="n">
        <x:f>IF(A5=0,0,I5/A5)</x:f>
        <x:v>0</x:v>
      </x:c>
      <x:c r="L5" s="117"/>
    </x:row>
    <x:row r="6">
      <x:c r="A6" s="119"/>
      <x:c r="B6" s="120"/>
      <x:c r="C6" s="119"/>
      <x:c r="D6" s="120"/>
      <x:c r="E6" s="119"/>
      <x:c r="F6" s="120"/>
      <x:c r="G6" s="119"/>
      <x:c r="H6" s="120"/>
      <x:c r="I6" s="119"/>
      <x:c r="J6" s="120"/>
      <x:c r="K6" s="119"/>
      <x:c r="L6" s="120"/>
    </x:row>
    <x:row r="7">
      <x:c r="A7" s="113"/>
      <x:c r="B7" s="113"/>
      <x:c r="C7" s="113"/>
      <x:c r="D7" s="113"/>
      <x:c r="E7" s="113"/>
      <x:c r="F7" s="113"/>
      <x:c r="G7" s="113"/>
      <x:c r="H7" s="113"/>
      <x:c r="I7" s="113"/>
      <x:c r="J7" s="113"/>
      <x:c r="K7" s="113"/>
      <x:c r="L7" s="113"/>
    </x:row>
    <x:row r="8">
      <x:c r="A8" s="113"/>
      <x:c r="B8" s="113"/>
      <x:c r="C8" s="113"/>
      <x:c r="D8" s="113"/>
      <x:c r="E8" s="113"/>
      <x:c r="F8" s="113"/>
      <x:c r="G8" s="113"/>
      <x:c r="H8" s="113"/>
      <x:c r="I8" s="113"/>
      <x:c r="J8" s="113"/>
      <x:c r="K8" s="113"/>
      <x:c r="L8" s="113"/>
    </x:row>
    <x:row r="9" ht="32" customHeight="1">
      <x:c r="A9" s="53" t="str">
        <x:v>النطاق الحصري</x:v>
      </x:c>
      <x:c r="B9" s="54" t="str">
        <x:v>الهويات</x:v>
      </x:c>
      <x:c r="C9" s="55" t="str">
        <x:v>الظهورات</x:v>
      </x:c>
      <x:c r="D9" s="113"/>
      <x:c r="E9" s="53" t="str">
        <x:v>عضوية نوع الخطة</x:v>
      </x:c>
      <x:c r="F9" s="54" t="str">
        <x:v>الهويات</x:v>
      </x:c>
      <x:c r="G9" s="55" t="str">
        <x:v>الظهورات</x:v>
      </x:c>
      <x:c r="H9" s="113"/>
      <x:c r="I9" s="53" t="str">
        <x:v>حالة المتابعة</x:v>
      </x:c>
      <x:c r="J9" s="54" t="str">
        <x:v>العدد</x:v>
      </x:c>
      <x:c r="K9" s="54" t="str">
        <x:v>النسبة</x:v>
      </x:c>
      <x:c r="L9" s="55" t="str">
        <x:v>الغرض</x:v>
      </x:c>
    </x:row>
    <x:row r="10">
      <x:c r="A10" s="61" t="str">
        <x:v>قديمة فقط</x:v>
      </x:c>
      <x:c r="B10" s="125" t="n">
        <x:f>COUNTIF('المفقودات 116'!$D$5:$D$120,A10)</x:f>
        <x:v>49</x:v>
      </x:c>
      <x:c r="C10" s="125" t="n">
        <x:f>SUMIF('المفقودات 116'!$D$5:$D$120,A10,'المفقودات 116'!$G$5:$G$120)</x:f>
        <x:v>75</x:v>
      </x:c>
      <x:c r="D10" s="113"/>
      <x:c r="E10" s="61" t="str">
        <x:v>الخطط القديمة</x:v>
      </x:c>
      <x:c r="F10" s="125" t="n">
        <x:f>COUNTIF('المفقودات 116'!$E$5:$E$120,"&gt;0")</x:f>
        <x:v>55</x:v>
      </x:c>
      <x:c r="G10" s="125" t="n">
        <x:f>SUM('المفقودات 116'!$E$5:$E$120)</x:f>
        <x:v>85</x:v>
      </x:c>
      <x:c r="H10" s="113"/>
      <x:c r="I10" s="61" t="str">
        <x:v>غير متوفر</x:v>
      </x:c>
      <x:c r="J10" s="125" t="n">
        <x:f>COUNTIF('المفقودات 116'!$P$5:$P$120,I10)</x:f>
        <x:v>116</x:v>
      </x:c>
      <x:c r="K10" s="96" t="n">
        <x:f>IF($A$5=0,0,J10/$A$5)</x:f>
        <x:v>1</x:v>
      </x:c>
      <x:c r="L10" s="61" t="str">
        <x:v>يلزم توفير PDF معتمد</x:v>
      </x:c>
    </x:row>
    <x:row r="11">
      <x:c r="A11" s="62" t="str">
        <x:v>حديثة فقط</x:v>
      </x:c>
      <x:c r="B11" s="126" t="n">
        <x:f>COUNTIF('المفقودات 116'!$D$5:$D$120,A11)</x:f>
        <x:v>61</x:v>
      </x:c>
      <x:c r="C11" s="126" t="n">
        <x:f>SUMIF('المفقودات 116'!$D$5:$D$120,A11,'المفقودات 116'!$G$5:$G$120)</x:f>
        <x:v>66</x:v>
      </x:c>
      <x:c r="D11" s="113"/>
      <x:c r="E11" s="62" t="str">
        <x:v>الخطط الحديثة</x:v>
      </x:c>
      <x:c r="F11" s="126" t="n">
        <x:f>COUNTIF('المفقودات 116'!$F$5:$F$120,"&gt;0")</x:f>
        <x:v>67</x:v>
      </x:c>
      <x:c r="G11" s="126" t="n">
        <x:f>SUM('المفقودات 116'!$F$5:$F$120)</x:f>
        <x:v>73</x:v>
      </x:c>
      <x:c r="H11" s="113"/>
      <x:c r="I11" s="62" t="str">
        <x:v>قيد البحث</x:v>
      </x:c>
      <x:c r="J11" s="126" t="n">
        <x:f>COUNTIF('المفقودات 116'!$P$5:$P$120,I11)</x:f>
        <x:v>0</x:v>
      </x:c>
      <x:c r="K11" s="97" t="n">
        <x:f>IF($A$5=0,0,J11/$A$5)</x:f>
        <x:v>0</x:v>
      </x:c>
      <x:c r="L11" s="62" t="str">
        <x:v>يجري البحث عنه</x:v>
      </x:c>
    </x:row>
    <x:row r="12">
      <x:c r="A12" s="62" t="str">
        <x:v>مشتركة بين القديمة والحديثة</x:v>
      </x:c>
      <x:c r="B12" s="126" t="n">
        <x:f>COUNTIF('المفقودات 116'!$D$5:$D$120,A12)</x:f>
        <x:v>6</x:v>
      </x:c>
      <x:c r="C12" s="126" t="n">
        <x:f>SUMIF('المفقودات 116'!$D$5:$D$120,A12,'المفقودات 116'!$G$5:$G$120)</x:f>
        <x:v>17</x:v>
      </x:c>
      <x:c r="D12" s="113"/>
      <x:c r="E12" s="113"/>
      <x:c r="F12" s="113"/>
      <x:c r="G12" s="113"/>
      <x:c r="H12" s="113"/>
      <x:c r="I12" s="62" t="str">
        <x:v>تم التزويد</x:v>
      </x:c>
      <x:c r="J12" s="126" t="n">
        <x:f>COUNTIF('المفقودات 116'!$P$5:$P$120,I12)</x:f>
        <x:v>0</x:v>
      </x:c>
      <x:c r="K12" s="97" t="n">
        <x:f>IF($A$5=0,0,J12/$A$5)</x:f>
        <x:v>0</x:v>
      </x:c>
      <x:c r="L12" s="62" t="str">
        <x:v>أضيف رابط أو مسار</x:v>
      </x:c>
    </x:row>
    <x:row r="13" ht="42" customHeight="1">
      <x:c r="A13" s="65" t="str">
        <x:v>الإجمالي</x:v>
      </x:c>
      <x:c r="B13" s="127" t="n">
        <x:f>SUM(B10:B12)</x:f>
        <x:v>116</x:v>
      </x:c>
      <x:c r="C13" s="127" t="n">
        <x:f>SUM(C10:C12)</x:f>
        <x:v>158</x:v>
      </x:c>
      <x:c r="D13" s="113"/>
      <x:c r="E13" s="84" t="str">
        <x:v>تتداخل 6 هويات بين القديمة والحديثة؛ لذلك لا يُجمع عمود الهويات هنا للوصول إلى 116.</x:v>
      </x:c>
      <x:c r="F13" s="85" t="str">
        <x:v>تتداخل 6 هويات بين القديمة والحديثة؛ لذلك لا يُجمع عمود الهويات هنا للوصول إلى 116.</x:v>
      </x:c>
      <x:c r="G13" s="86" t="str">
        <x:v>تتداخل 6 هويات بين القديمة والحديثة؛ لذلك لا يُجمع عمود الهويات هنا للوصول إلى 116.</x:v>
      </x:c>
      <x:c r="H13" s="113"/>
      <x:c r="I13" s="62" t="str">
        <x:v>يحتاج مراجعة</x:v>
      </x:c>
      <x:c r="J13" s="126" t="n">
        <x:f>COUNTIF('المفقودات 116'!$P$5:$P$120,I13)</x:f>
        <x:v>0</x:v>
      </x:c>
      <x:c r="K13" s="97" t="n">
        <x:f>IF($A$5=0,0,J13/$A$5)</x:f>
        <x:v>0</x:v>
      </x:c>
      <x:c r="L13" s="62" t="str">
        <x:v>وصل ويحتاج فحص</x:v>
      </x:c>
    </x:row>
    <x:row r="14" ht="42" customHeight="1">
      <x:c r="A14" s="113"/>
      <x:c r="B14" s="113"/>
      <x:c r="C14" s="113"/>
      <x:c r="D14" s="113"/>
      <x:c r="E14" s="87" t="str">
        <x:v>تتداخل 6 هويات بين القديمة والحديثة؛ لذلك لا يُجمع عمود الهويات هنا للوصول إلى 116.</x:v>
      </x:c>
      <x:c r="F14" s="88" t="str">
        <x:v>تتداخل 6 هويات بين القديمة والحديثة؛ لذلك لا يُجمع عمود الهويات هنا للوصول إلى 116.</x:v>
      </x:c>
      <x:c r="G14" s="89" t="str">
        <x:v>تتداخل 6 هويات بين القديمة والحديثة؛ لذلك لا يُجمع عمود الهويات هنا للوصول إلى 116.</x:v>
      </x:c>
      <x:c r="H14" s="113"/>
      <x:c r="I14" s="62" t="str">
        <x:v>غير مطلوب</x:v>
      </x:c>
      <x:c r="J14" s="126" t="n">
        <x:f>COUNTIF('المفقودات 116'!$P$5:$P$120,I14)</x:f>
        <x:v>0</x:v>
      </x:c>
      <x:c r="K14" s="97" t="n">
        <x:f>IF($A$5=0,0,J14/$A$5)</x:f>
        <x:v>0</x:v>
      </x:c>
      <x:c r="L14" s="62" t="str">
        <x:v>حُسم أنه غير مطلوب</x:v>
      </x:c>
    </x:row>
    <x:row r="15">
      <x:c r="A15" s="113"/>
      <x:c r="B15" s="113"/>
      <x:c r="C15" s="113"/>
      <x:c r="D15" s="113"/>
      <x:c r="E15" s="113"/>
      <x:c r="F15" s="113"/>
      <x:c r="G15" s="113"/>
      <x:c r="H15" s="113"/>
      <x:c r="I15" s="113"/>
      <x:c r="J15" s="113"/>
      <x:c r="K15" s="113"/>
      <x:c r="L15" s="113"/>
    </x:row>
    <x:row r="16">
      <x:c r="A16" s="113"/>
      <x:c r="B16" s="113"/>
      <x:c r="C16" s="113"/>
      <x:c r="D16" s="113"/>
      <x:c r="E16" s="113"/>
      <x:c r="F16" s="113"/>
      <x:c r="G16" s="113"/>
      <x:c r="H16" s="113"/>
      <x:c r="I16" s="113"/>
      <x:c r="J16" s="113"/>
      <x:c r="K16" s="113"/>
      <x:c r="L16" s="113"/>
    </x:row>
    <x:row r="17" ht="32" customHeight="1">
      <x:c r="A17" s="53" t="str">
        <x:v>البرنامج</x:v>
      </x:c>
      <x:c r="B17" s="54" t="str">
        <x:v>الدرجة</x:v>
      </x:c>
      <x:c r="C17" s="54" t="str">
        <x:v>نوع الخطة</x:v>
      </x:c>
      <x:c r="D17" s="54" t="str">
        <x:v>الإصدار</x:v>
      </x:c>
      <x:c r="E17" s="54" t="str">
        <x:v>الهويات</x:v>
      </x:c>
      <x:c r="F17" s="55" t="str">
        <x:v>الظهورات</x:v>
      </x:c>
      <x:c r="G17" s="113"/>
      <x:c r="H17" s="53" t="str">
        <x:v>البرنامج</x:v>
      </x:c>
      <x:c r="I17" s="54" t="str">
        <x:v>الدرجة</x:v>
      </x:c>
      <x:c r="J17" s="54" t="str">
        <x:v>هويات داخل البرنامج</x:v>
      </x:c>
      <x:c r="K17" s="55" t="str">
        <x:v>الظهورات</x:v>
      </x:c>
      <x:c r="L17" s="113"/>
    </x:row>
    <x:row r="18">
      <x:c r="A18" s="61" t="str">
        <x:v>الأنظمة</x:v>
      </x:c>
      <x:c r="B18" s="61" t="str">
        <x:v>بكالوريوس</x:v>
      </x:c>
      <x:c r="C18" s="61" t="str">
        <x:v>حديثة</x:v>
      </x:c>
      <x:c r="D18" s="98" t="n">
        <x:v>47</x:v>
      </x:c>
      <x:c r="E18" s="98" t="n">
        <x:v>13</x:v>
      </x:c>
      <x:c r="F18" s="98" t="n">
        <x:v>13</x:v>
      </x:c>
      <x:c r="G18" s="113"/>
      <x:c r="H18" s="61" t="str">
        <x:v>الأنظمة</x:v>
      </x:c>
      <x:c r="I18" s="61" t="str">
        <x:v>بكالوريوس</x:v>
      </x:c>
      <x:c r="J18" s="98" t="n">
        <x:v>23</x:v>
      </x:c>
      <x:c r="K18" s="98" t="n">
        <x:v>23</x:v>
      </x:c>
      <x:c r="L18" s="113"/>
    </x:row>
    <x:row r="19">
      <x:c r="A19" s="62" t="str">
        <x:v>الدراسات الإسلامية</x:v>
      </x:c>
      <x:c r="B19" s="62" t="str">
        <x:v>بكالوريوس</x:v>
      </x:c>
      <x:c r="C19" s="62" t="str">
        <x:v>حديثة</x:v>
      </x:c>
      <x:c r="D19" s="99" t="n">
        <x:v>47</x:v>
      </x:c>
      <x:c r="E19" s="99" t="n">
        <x:v>23</x:v>
      </x:c>
      <x:c r="F19" s="99" t="n">
        <x:v>23</x:v>
      </x:c>
      <x:c r="G19" s="113"/>
      <x:c r="H19" s="62" t="str">
        <x:v>الدراسات الإسلامية</x:v>
      </x:c>
      <x:c r="I19" s="62" t="str">
        <x:v>بكالوريوس</x:v>
      </x:c>
      <x:c r="J19" s="99" t="n">
        <x:v>32</x:v>
      </x:c>
      <x:c r="K19" s="99" t="n">
        <x:v>32</x:v>
      </x:c>
      <x:c r="L19" s="113"/>
    </x:row>
    <x:row r="20">
      <x:c r="A20" s="62" t="str">
        <x:v>الشريعة</x:v>
      </x:c>
      <x:c r="B20" s="62" t="str">
        <x:v>بكالوريوس</x:v>
      </x:c>
      <x:c r="C20" s="62" t="str">
        <x:v>حديثة</x:v>
      </x:c>
      <x:c r="D20" s="99" t="n">
        <x:v>47</x:v>
      </x:c>
      <x:c r="E20" s="99" t="n">
        <x:v>2</x:v>
      </x:c>
      <x:c r="F20" s="99" t="n">
        <x:v>2</x:v>
      </x:c>
      <x:c r="G20" s="113"/>
      <x:c r="H20" s="62" t="str">
        <x:v>الشريعة</x:v>
      </x:c>
      <x:c r="I20" s="62" t="str">
        <x:v>بكالوريوس</x:v>
      </x:c>
      <x:c r="J20" s="99" t="n">
        <x:v>28</x:v>
      </x:c>
      <x:c r="K20" s="99" t="n">
        <x:v>51</x:v>
      </x:c>
      <x:c r="L20" s="113"/>
    </x:row>
    <x:row r="21">
      <x:c r="A21" s="62" t="str">
        <x:v>القراءات</x:v>
      </x:c>
      <x:c r="B21" s="62" t="str">
        <x:v>بكالوريوس</x:v>
      </x:c>
      <x:c r="C21" s="62" t="str">
        <x:v>حديثة</x:v>
      </x:c>
      <x:c r="D21" s="99" t="n">
        <x:v>47</x:v>
      </x:c>
      <x:c r="E21" s="99" t="n">
        <x:v>17</x:v>
      </x:c>
      <x:c r="F21" s="99" t="n">
        <x:v>17</x:v>
      </x:c>
      <x:c r="G21" s="113"/>
      <x:c r="H21" s="62" t="str">
        <x:v>القراءات</x:v>
      </x:c>
      <x:c r="I21" s="62" t="str">
        <x:v>بكالوريوس</x:v>
      </x:c>
      <x:c r="J21" s="99" t="n">
        <x:v>22</x:v>
      </x:c>
      <x:c r="K21" s="99" t="n">
        <x:v>23</x:v>
      </x:c>
      <x:c r="L21" s="113"/>
    </x:row>
    <x:row r="22">
      <x:c r="A22" s="62" t="str">
        <x:v>القرآن وعلومه</x:v>
      </x:c>
      <x:c r="B22" s="62" t="str">
        <x:v>بكالوريوس</x:v>
      </x:c>
      <x:c r="C22" s="62" t="str">
        <x:v>حديثة</x:v>
      </x:c>
      <x:c r="D22" s="99" t="n">
        <x:v>47</x:v>
      </x:c>
      <x:c r="E22" s="99" t="n">
        <x:v>13</x:v>
      </x:c>
      <x:c r="F22" s="99" t="n">
        <x:v>13</x:v>
      </x:c>
      <x:c r="G22" s="113"/>
      <x:c r="H22" s="62" t="str">
        <x:v>القرآن وعلومه</x:v>
      </x:c>
      <x:c r="I22" s="62" t="str">
        <x:v>بكالوريوس</x:v>
      </x:c>
      <x:c r="J22" s="99" t="n">
        <x:v>19</x:v>
      </x:c>
      <x:c r="K22" s="99" t="n">
        <x:v>24</x:v>
      </x:c>
      <x:c r="L22" s="113"/>
    </x:row>
    <x:row r="23">
      <x:c r="A23" s="62" t="str">
        <x:v>أصول الفقه</x:v>
      </x:c>
      <x:c r="B23" s="62" t="str">
        <x:v>دكتوراه</x:v>
      </x:c>
      <x:c r="C23" s="62" t="str">
        <x:v>حديثة</x:v>
      </x:c>
      <x:c r="D23" s="99" t="n">
        <x:v>1</x:v>
      </x:c>
      <x:c r="E23" s="99" t="n">
        <x:v>3</x:v>
      </x:c>
      <x:c r="F23" s="99" t="n">
        <x:v>3</x:v>
      </x:c>
      <x:c r="G23" s="113"/>
      <x:c r="H23" s="62" t="str">
        <x:v>أصول الفقه</x:v>
      </x:c>
      <x:c r="I23" s="62" t="str">
        <x:v>دكتوراه</x:v>
      </x:c>
      <x:c r="J23" s="99" t="n">
        <x:v>3</x:v>
      </x:c>
      <x:c r="K23" s="99" t="n">
        <x:v>3</x:v>
      </x:c>
      <x:c r="L23" s="113"/>
    </x:row>
    <x:row r="24">
      <x:c r="A24" s="62" t="str">
        <x:v>القراءات</x:v>
      </x:c>
      <x:c r="B24" s="62" t="str">
        <x:v>دكتوراه</x:v>
      </x:c>
      <x:c r="C24" s="62" t="str">
        <x:v>حديثة</x:v>
      </x:c>
      <x:c r="D24" s="99" t="n">
        <x:v>1</x:v>
      </x:c>
      <x:c r="E24" s="99" t="n">
        <x:v>1</x:v>
      </x:c>
      <x:c r="F24" s="99" t="n">
        <x:v>1</x:v>
      </x:c>
      <x:c r="G24" s="113"/>
      <x:c r="H24" s="62" t="str">
        <x:v>القراءات</x:v>
      </x:c>
      <x:c r="I24" s="62" t="str">
        <x:v>دكتوراه</x:v>
      </x:c>
      <x:c r="J24" s="99" t="n">
        <x:v>1</x:v>
      </x:c>
      <x:c r="K24" s="99" t="n">
        <x:v>1</x:v>
      </x:c>
      <x:c r="L24" s="113"/>
    </x:row>
    <x:row r="25">
      <x:c r="A25" s="62" t="str">
        <x:v>الفقه</x:v>
      </x:c>
      <x:c r="B25" s="62" t="str">
        <x:v>ماجستير</x:v>
      </x:c>
      <x:c r="C25" s="62" t="str">
        <x:v>حديثة</x:v>
      </x:c>
      <x:c r="D25" s="99" t="n">
        <x:v>1</x:v>
      </x:c>
      <x:c r="E25" s="99" t="n">
        <x:v>1</x:v>
      </x:c>
      <x:c r="F25" s="99" t="n">
        <x:v>1</x:v>
      </x:c>
      <x:c r="G25" s="113"/>
      <x:c r="H25" s="62" t="str">
        <x:v>الفقه</x:v>
      </x:c>
      <x:c r="I25" s="62" t="str">
        <x:v>ماجستير</x:v>
      </x:c>
      <x:c r="J25" s="99" t="n">
        <x:v>1</x:v>
      </x:c>
      <x:c r="K25" s="99" t="n">
        <x:v>1</x:v>
      </x:c>
      <x:c r="L25" s="113"/>
    </x:row>
    <x:row r="26">
      <x:c r="A26" s="62" t="str">
        <x:v>الأنظمة</x:v>
      </x:c>
      <x:c r="B26" s="62" t="str">
        <x:v>بكالوريوس</x:v>
      </x:c>
      <x:c r="C26" s="62" t="str">
        <x:v>قديمة</x:v>
      </x:c>
      <x:c r="D26" s="99" t="n">
        <x:v>38</x:v>
      </x:c>
      <x:c r="E26" s="99" t="n">
        <x:v>10</x:v>
      </x:c>
      <x:c r="F26" s="99" t="n">
        <x:v>10</x:v>
      </x:c>
      <x:c r="G26" s="113"/>
      <x:c r="H26" s="113"/>
      <x:c r="I26" s="113"/>
      <x:c r="J26" s="113"/>
      <x:c r="K26" s="113"/>
      <x:c r="L26" s="113"/>
    </x:row>
    <x:row r="27">
      <x:c r="A27" s="62" t="str">
        <x:v>الدراسات الإسلامية</x:v>
      </x:c>
      <x:c r="B27" s="62" t="str">
        <x:v>بكالوريوس</x:v>
      </x:c>
      <x:c r="C27" s="62" t="str">
        <x:v>قديمة</x:v>
      </x:c>
      <x:c r="D27" s="99" t="n">
        <x:v>39</x:v>
      </x:c>
      <x:c r="E27" s="99" t="n">
        <x:v>9</x:v>
      </x:c>
      <x:c r="F27" s="99" t="n">
        <x:v>9</x:v>
      </x:c>
      <x:c r="G27" s="113"/>
      <x:c r="H27" s="113"/>
      <x:c r="I27" s="113"/>
      <x:c r="J27" s="113"/>
      <x:c r="K27" s="113"/>
      <x:c r="L27" s="113"/>
    </x:row>
    <x:row r="28">
      <x:c r="A28" s="62" t="str">
        <x:v>الشريعة</x:v>
      </x:c>
      <x:c r="B28" s="62" t="str">
        <x:v>بكالوريوس</x:v>
      </x:c>
      <x:c r="C28" s="62" t="str">
        <x:v>قديمة</x:v>
      </x:c>
      <x:c r="D28" s="99" t="n">
        <x:v>38</x:v>
      </x:c>
      <x:c r="E28" s="99" t="n">
        <x:v>25</x:v>
      </x:c>
      <x:c r="F28" s="99" t="n">
        <x:v>25</x:v>
      </x:c>
      <x:c r="G28" s="113"/>
      <x:c r="H28" s="113"/>
      <x:c r="I28" s="113"/>
      <x:c r="J28" s="113"/>
      <x:c r="K28" s="113"/>
      <x:c r="L28" s="113"/>
    </x:row>
    <x:row r="29">
      <x:c r="A29" s="62" t="str">
        <x:v>الشريعة</x:v>
      </x:c>
      <x:c r="B29" s="62" t="str">
        <x:v>بكالوريوس</x:v>
      </x:c>
      <x:c r="C29" s="62" t="str">
        <x:v>قديمة</x:v>
      </x:c>
      <x:c r="D29" s="99" t="n">
        <x:v>39</x:v>
      </x:c>
      <x:c r="E29" s="99" t="n">
        <x:v>24</x:v>
      </x:c>
      <x:c r="F29" s="99" t="n">
        <x:v>24</x:v>
      </x:c>
      <x:c r="G29" s="113"/>
      <x:c r="H29" s="113"/>
      <x:c r="I29" s="113"/>
      <x:c r="J29" s="113"/>
      <x:c r="K29" s="113"/>
      <x:c r="L29" s="113"/>
    </x:row>
    <x:row r="30">
      <x:c r="A30" s="62" t="str">
        <x:v>القراءات</x:v>
      </x:c>
      <x:c r="B30" s="62" t="str">
        <x:v>بكالوريوس</x:v>
      </x:c>
      <x:c r="C30" s="62" t="str">
        <x:v>قديمة</x:v>
      </x:c>
      <x:c r="D30" s="99" t="n">
        <x:v>38</x:v>
      </x:c>
      <x:c r="E30" s="99" t="n">
        <x:v>6</x:v>
      </x:c>
      <x:c r="F30" s="99" t="n">
        <x:v>6</x:v>
      </x:c>
      <x:c r="G30" s="113"/>
      <x:c r="H30" s="113"/>
      <x:c r="I30" s="113"/>
      <x:c r="J30" s="113"/>
      <x:c r="K30" s="113"/>
      <x:c r="L30" s="113"/>
    </x:row>
    <x:row r="31" ht="42" customHeight="1">
      <x:c r="A31" s="62" t="str">
        <x:v>القرآن وعلومه</x:v>
      </x:c>
      <x:c r="B31" s="62" t="str">
        <x:v>بكالوريوس</x:v>
      </x:c>
      <x:c r="C31" s="62" t="str">
        <x:v>قديمة</x:v>
      </x:c>
      <x:c r="D31" s="99" t="n">
        <x:v>39</x:v>
      </x:c>
      <x:c r="E31" s="99" t="n">
        <x:v>11</x:v>
      </x:c>
      <x:c r="F31" s="99" t="n">
        <x:v>11</x:v>
      </x:c>
      <x:c r="G31" s="113"/>
      <x:c r="H31" s="84" t="str">
        <x:v>مجموع هويات البرامج = 129 لا 116 لأن 13 هوية مشتركة بين برنامجين. المرجع الإجمالي الصحيح هو 116 هوية و158 ظهورًا.</x:v>
      </x:c>
      <x:c r="I31" s="85" t="str">
        <x:v>مجموع هويات البرامج = 129 لا 116 لأن 13 هوية مشتركة بين برنامجين. المرجع الإجمالي الصحيح هو 116 هوية و158 ظهورًا.</x:v>
      </x:c>
      <x:c r="J31" s="85" t="str">
        <x:v>مجموع هويات البرامج = 129 لا 116 لأن 13 هوية مشتركة بين برنامجين. المرجع الإجمالي الصحيح هو 116 هوية و158 ظهورًا.</x:v>
      </x:c>
      <x:c r="K31" s="85" t="str">
        <x:v>مجموع هويات البرامج = 129 لا 116 لأن 13 هوية مشتركة بين برنامجين. المرجع الإجمالي الصحيح هو 116 هوية و158 ظهورًا.</x:v>
      </x:c>
      <x:c r="L31" s="86" t="str">
        <x:v>مجموع هويات البرامج = 129 لا 116 لأن 13 هوية مشتركة بين برنامجين. المرجع الإجمالي الصحيح هو 116 هوية و158 ظهورًا.</x:v>
      </x:c>
    </x:row>
    <x:row r="32" ht="42" customHeight="1">
      <x:c r="A32" s="113"/>
      <x:c r="B32" s="113"/>
      <x:c r="C32" s="113"/>
      <x:c r="D32" s="113"/>
      <x:c r="E32" s="113"/>
      <x:c r="F32" s="113"/>
      <x:c r="G32" s="113"/>
      <x:c r="H32" s="108" t="str">
        <x:v>مجموع هويات البرامج = 129 لا 116 لأن 13 هوية مشتركة بين برنامجين. المرجع الإجمالي الصحيح هو 116 هوية و158 ظهورًا.</x:v>
      </x:c>
      <x:c r="I32" s="109" t="str">
        <x:v>مجموع هويات البرامج = 129 لا 116 لأن 13 هوية مشتركة بين برنامجين. المرجع الإجمالي الصحيح هو 116 هوية و158 ظهورًا.</x:v>
      </x:c>
      <x:c r="J32" s="109" t="str">
        <x:v>مجموع هويات البرامج = 129 لا 116 لأن 13 هوية مشتركة بين برنامجين. المرجع الإجمالي الصحيح هو 116 هوية و158 ظهورًا.</x:v>
      </x:c>
      <x:c r="K32" s="109" t="str">
        <x:v>مجموع هويات البرامج = 129 لا 116 لأن 13 هوية مشتركة بين برنامجين. المرجع الإجمالي الصحيح هو 116 هوية و158 ظهورًا.</x:v>
      </x:c>
      <x:c r="L32" s="110" t="str">
        <x:v>مجموع هويات البرامج = 129 لا 116 لأن 13 هوية مشتركة بين برنامجين. المرجع الإجمالي الصحيح هو 116 هوية و158 ظهورًا.</x:v>
      </x:c>
    </x:row>
    <x:row r="33" ht="42" customHeight="1">
      <x:c r="A33" s="113"/>
      <x:c r="B33" s="113"/>
      <x:c r="C33" s="113"/>
      <x:c r="D33" s="113"/>
      <x:c r="E33" s="113"/>
      <x:c r="F33" s="113"/>
      <x:c r="G33" s="113"/>
      <x:c r="H33" s="87" t="str">
        <x:v>مجموع هويات البرامج = 129 لا 116 لأن 13 هوية مشتركة بين برنامجين. المرجع الإجمالي الصحيح هو 116 هوية و158 ظهورًا.</x:v>
      </x:c>
      <x:c r="I33" s="88" t="str">
        <x:v>مجموع هويات البرامج = 129 لا 116 لأن 13 هوية مشتركة بين برنامجين. المرجع الإجمالي الصحيح هو 116 هوية و158 ظهورًا.</x:v>
      </x:c>
      <x:c r="J33" s="88" t="str">
        <x:v>مجموع هويات البرامج = 129 لا 116 لأن 13 هوية مشتركة بين برنامجين. المرجع الإجمالي الصحيح هو 116 هوية و158 ظهورًا.</x:v>
      </x:c>
      <x:c r="K33" s="88" t="str">
        <x:v>مجموع هويات البرامج = 129 لا 116 لأن 13 هوية مشتركة بين برنامجين. المرجع الإجمالي الصحيح هو 116 هوية و158 ظهورًا.</x:v>
      </x:c>
      <x:c r="L33" s="89" t="str">
        <x:v>مجموع هويات البرامج = 129 لا 116 لأن 13 هوية مشتركة بين برنامجين. المرجع الإجمالي الصحيح هو 116 هوية و158 ظهورًا.</x:v>
      </x:c>
    </x:row>
    <x:row r="34">
      <x:c r="A34" s="113"/>
      <x:c r="B34" s="113"/>
      <x:c r="C34" s="113"/>
      <x:c r="D34" s="113"/>
      <x:c r="E34" s="113"/>
      <x:c r="F34" s="113"/>
      <x:c r="G34" s="113"/>
      <x:c r="H34" s="113"/>
      <x:c r="I34" s="113"/>
      <x:c r="J34" s="113"/>
      <x:c r="K34" s="113"/>
      <x:c r="L34" s="113"/>
    </x:row>
    <x:row r="35">
      <x:c r="A35" s="113"/>
      <x:c r="B35" s="113"/>
      <x:c r="C35" s="113"/>
      <x:c r="D35" s="113"/>
      <x:c r="E35" s="113"/>
      <x:c r="F35" s="113"/>
      <x:c r="G35" s="113"/>
      <x:c r="H35" s="113"/>
      <x:c r="I35" s="113"/>
      <x:c r="J35" s="113"/>
      <x:c r="K35" s="113"/>
      <x:c r="L35" s="113"/>
    </x:row>
    <x:row r="36">
      <x:c r="A36" s="113"/>
      <x:c r="B36" s="113"/>
      <x:c r="C36" s="113"/>
      <x:c r="D36" s="113"/>
      <x:c r="E36" s="113"/>
      <x:c r="F36" s="113"/>
      <x:c r="G36" s="113"/>
      <x:c r="H36" s="113"/>
      <x:c r="I36" s="113"/>
      <x:c r="J36" s="113"/>
      <x:c r="K36" s="113"/>
      <x:c r="L36" s="113"/>
    </x:row>
    <x:row r="37" ht="42" customHeight="1">
      <x:c r="A37" s="84" t="str">
        <x:v>المصدر: data.json وCOURSE_SPECIFICATIONS_AUDIT.md — تاريخ الحصر: 27 أغسطس 2026م. المطلوب لكل صف في ورقة «المفقودات 116»: ملف PDF معتمد يحمل رمز المقرر واسمه. استُبعدت 6 هويات تمثل 8 ظهورات للرسالة والاختبار الشامل لأنها متطلبات دراسات عليا غير تدريسية لا تحتاج توصيف مقرر.</x:v>
      </x:c>
      <x:c r="B37" s="85" t="str">
        <x:v>المصدر: data.json وCOURSE_SPECIFICATIONS_AUDIT.md — تاريخ الحصر: 27 أغسطس 2026م. المطلوب لكل صف في ورقة «المفقودات 116»: ملف PDF معتمد يحمل رمز المقرر واسمه. استُبعدت 6 هويات تمثل 8 ظهورات للرسالة والاختبار الشامل لأنها متطلبات دراسات عليا غير تدريسية لا تحتاج توصيف مقرر.</x:v>
      </x:c>
      <x:c r="C37" s="85" t="str">
        <x:v>المصدر: data.json وCOURSE_SPECIFICATIONS_AUDIT.md — تاريخ الحصر: 27 أغسطس 2026م. المطلوب لكل صف في ورقة «المفقودات 116»: ملف PDF معتمد يحمل رمز المقرر واسمه. استُبعدت 6 هويات تمثل 8 ظهورات للرسالة والاختبار الشامل لأنها متطلبات دراسات عليا غير تدريسية لا تحتاج توصيف مقرر.</x:v>
      </x:c>
      <x:c r="D37" s="85" t="str">
        <x:v>المصدر: data.json وCOURSE_SPECIFICATIONS_AUDIT.md — تاريخ الحصر: 27 أغسطس 2026م. المطلوب لكل صف في ورقة «المفقودات 116»: ملف PDF معتمد يحمل رمز المقرر واسمه. استُبعدت 6 هويات تمثل 8 ظهورات للرسالة والاختبار الشامل لأنها متطلبات دراسات عليا غير تدريسية لا تحتاج توصيف مقرر.</x:v>
      </x:c>
      <x:c r="E37" s="85" t="str">
        <x:v>المصدر: data.json وCOURSE_SPECIFICATIONS_AUDIT.md — تاريخ الحصر: 27 أغسطس 2026م. المطلوب لكل صف في ورقة «المفقودات 116»: ملف PDF معتمد يحمل رمز المقرر واسمه. استُبعدت 6 هويات تمثل 8 ظهورات للرسالة والاختبار الشامل لأنها متطلبات دراسات عليا غير تدريسية لا تحتاج توصيف مقرر.</x:v>
      </x:c>
      <x:c r="F37" s="85" t="str">
        <x:v>المصدر: data.json وCOURSE_SPECIFICATIONS_AUDIT.md — تاريخ الحصر: 27 أغسطس 2026م. المطلوب لكل صف في ورقة «المفقودات 116»: ملف PDF معتمد يحمل رمز المقرر واسمه. استُبعدت 6 هويات تمثل 8 ظهورات للرسالة والاختبار الشامل لأنها متطلبات دراسات عليا غير تدريسية لا تحتاج توصيف مقرر.</x:v>
      </x:c>
      <x:c r="G37" s="85" t="str">
        <x:v>المصدر: data.json وCOURSE_SPECIFICATIONS_AUDIT.md — تاريخ الحصر: 27 أغسطس 2026م. المطلوب لكل صف في ورقة «المفقودات 116»: ملف PDF معتمد يحمل رمز المقرر واسمه. استُبعدت 6 هويات تمثل 8 ظهورات للرسالة والاختبار الشامل لأنها متطلبات دراسات عليا غير تدريسية لا تحتاج توصيف مقرر.</x:v>
      </x:c>
      <x:c r="H37" s="85" t="str">
        <x:v>المصدر: data.json وCOURSE_SPECIFICATIONS_AUDIT.md — تاريخ الحصر: 27 أغسطس 2026م. المطلوب لكل صف في ورقة «المفقودات 116»: ملف PDF معتمد يحمل رمز المقرر واسمه. استُبعدت 6 هويات تمثل 8 ظهورات للرسالة والاختبار الشامل لأنها متطلبات دراسات عليا غير تدريسية لا تحتاج توصيف مقرر.</x:v>
      </x:c>
      <x:c r="I37" s="85" t="str">
        <x:v>المصدر: data.json وCOURSE_SPECIFICATIONS_AUDIT.md — تاريخ الحصر: 27 أغسطس 2026م. المطلوب لكل صف في ورقة «المفقودات 116»: ملف PDF معتمد يحمل رمز المقرر واسمه. استُبعدت 6 هويات تمثل 8 ظهورات للرسالة والاختبار الشامل لأنها متطلبات دراسات عليا غير تدريسية لا تحتاج توصيف مقرر.</x:v>
      </x:c>
      <x:c r="J37" s="85" t="str">
        <x:v>المصدر: data.json وCOURSE_SPECIFICATIONS_AUDIT.md — تاريخ الحصر: 27 أغسطس 2026م. المطلوب لكل صف في ورقة «المفقودات 116»: ملف PDF معتمد يحمل رمز المقرر واسمه. استُبعدت 6 هويات تمثل 8 ظهورات للرسالة والاختبار الشامل لأنها متطلبات دراسات عليا غير تدريسية لا تحتاج توصيف مقرر.</x:v>
      </x:c>
      <x:c r="K37" s="85" t="str">
        <x:v>المصدر: data.json وCOURSE_SPECIFICATIONS_AUDIT.md — تاريخ الحصر: 27 أغسطس 2026م. المطلوب لكل صف في ورقة «المفقودات 116»: ملف PDF معتمد يحمل رمز المقرر واسمه. استُبعدت 6 هويات تمثل 8 ظهورات للرسالة والاختبار الشامل لأنها متطلبات دراسات عليا غير تدريسية لا تحتاج توصيف مقرر.</x:v>
      </x:c>
      <x:c r="L37" s="86" t="str">
        <x:v>المصدر: data.json وCOURSE_SPECIFICATIONS_AUDIT.md — تاريخ الحصر: 27 أغسطس 2026م. المطلوب لكل صف في ورقة «المفقودات 116»: ملف PDF معتمد يحمل رمز المقرر واسمه. استُبعدت 6 هويات تمثل 8 ظهورات للرسالة والاختبار الشامل لأنها متطلبات دراسات عليا غير تدريسية لا تحتاج توصيف مقرر.</x:v>
      </x:c>
    </x:row>
    <x:row r="38" ht="42" customHeight="1">
      <x:c r="A38" s="108" t="str">
        <x:v>المصدر: data.json وCOURSE_SPECIFICATIONS_AUDIT.md — تاريخ الحصر: 27 أغسطس 2026م. المطلوب لكل صف في ورقة «المفقودات 116»: ملف PDF معتمد يحمل رمز المقرر واسمه. استُبعدت 6 هويات تمثل 8 ظهورات للرسالة والاختبار الشامل لأنها متطلبات دراسات عليا غير تدريسية لا تحتاج توصيف مقرر.</x:v>
      </x:c>
      <x:c r="B38" s="109" t="str">
        <x:v>المصدر: data.json وCOURSE_SPECIFICATIONS_AUDIT.md — تاريخ الحصر: 27 أغسطس 2026م. المطلوب لكل صف في ورقة «المفقودات 116»: ملف PDF معتمد يحمل رمز المقرر واسمه. استُبعدت 6 هويات تمثل 8 ظهورات للرسالة والاختبار الشامل لأنها متطلبات دراسات عليا غير تدريسية لا تحتاج توصيف مقرر.</x:v>
      </x:c>
      <x:c r="C38" s="109" t="str">
        <x:v>المصدر: data.json وCOURSE_SPECIFICATIONS_AUDIT.md — تاريخ الحصر: 27 أغسطس 2026م. المطلوب لكل صف في ورقة «المفقودات 116»: ملف PDF معتمد يحمل رمز المقرر واسمه. استُبعدت 6 هويات تمثل 8 ظهورات للرسالة والاختبار الشامل لأنها متطلبات دراسات عليا غير تدريسية لا تحتاج توصيف مقرر.</x:v>
      </x:c>
      <x:c r="D38" s="109" t="str">
        <x:v>المصدر: data.json وCOURSE_SPECIFICATIONS_AUDIT.md — تاريخ الحصر: 27 أغسطس 2026م. المطلوب لكل صف في ورقة «المفقودات 116»: ملف PDF معتمد يحمل رمز المقرر واسمه. استُبعدت 6 هويات تمثل 8 ظهورات للرسالة والاختبار الشامل لأنها متطلبات دراسات عليا غير تدريسية لا تحتاج توصيف مقرر.</x:v>
      </x:c>
      <x:c r="E38" s="109" t="str">
        <x:v>المصدر: data.json وCOURSE_SPECIFICATIONS_AUDIT.md — تاريخ الحصر: 27 أغسطس 2026م. المطلوب لكل صف في ورقة «المفقودات 116»: ملف PDF معتمد يحمل رمز المقرر واسمه. استُبعدت 6 هويات تمثل 8 ظهورات للرسالة والاختبار الشامل لأنها متطلبات دراسات عليا غير تدريسية لا تحتاج توصيف مقرر.</x:v>
      </x:c>
      <x:c r="F38" s="109" t="str">
        <x:v>المصدر: data.json وCOURSE_SPECIFICATIONS_AUDIT.md — تاريخ الحصر: 27 أغسطس 2026م. المطلوب لكل صف في ورقة «المفقودات 116»: ملف PDF معتمد يحمل رمز المقرر واسمه. استُبعدت 6 هويات تمثل 8 ظهورات للرسالة والاختبار الشامل لأنها متطلبات دراسات عليا غير تدريسية لا تحتاج توصيف مقرر.</x:v>
      </x:c>
      <x:c r="G38" s="109" t="str">
        <x:v>المصدر: data.json وCOURSE_SPECIFICATIONS_AUDIT.md — تاريخ الحصر: 27 أغسطس 2026م. المطلوب لكل صف في ورقة «المفقودات 116»: ملف PDF معتمد يحمل رمز المقرر واسمه. استُبعدت 6 هويات تمثل 8 ظهورات للرسالة والاختبار الشامل لأنها متطلبات دراسات عليا غير تدريسية لا تحتاج توصيف مقرر.</x:v>
      </x:c>
      <x:c r="H38" s="109" t="str">
        <x:v>المصدر: data.json وCOURSE_SPECIFICATIONS_AUDIT.md — تاريخ الحصر: 27 أغسطس 2026م. المطلوب لكل صف في ورقة «المفقودات 116»: ملف PDF معتمد يحمل رمز المقرر واسمه. استُبعدت 6 هويات تمثل 8 ظهورات للرسالة والاختبار الشامل لأنها متطلبات دراسات عليا غير تدريسية لا تحتاج توصيف مقرر.</x:v>
      </x:c>
      <x:c r="I38" s="109" t="str">
        <x:v>المصدر: data.json وCOURSE_SPECIFICATIONS_AUDIT.md — تاريخ الحصر: 27 أغسطس 2026م. المطلوب لكل صف في ورقة «المفقودات 116»: ملف PDF معتمد يحمل رمز المقرر واسمه. استُبعدت 6 هويات تمثل 8 ظهورات للرسالة والاختبار الشامل لأنها متطلبات دراسات عليا غير تدريسية لا تحتاج توصيف مقرر.</x:v>
      </x:c>
      <x:c r="J38" s="109" t="str">
        <x:v>المصدر: data.json وCOURSE_SPECIFICATIONS_AUDIT.md — تاريخ الحصر: 27 أغسطس 2026م. المطلوب لكل صف في ورقة «المفقودات 116»: ملف PDF معتمد يحمل رمز المقرر واسمه. استُبعدت 6 هويات تمثل 8 ظهورات للرسالة والاختبار الشامل لأنها متطلبات دراسات عليا غير تدريسية لا تحتاج توصيف مقرر.</x:v>
      </x:c>
      <x:c r="K38" s="109" t="str">
        <x:v>المصدر: data.json وCOURSE_SPECIFICATIONS_AUDIT.md — تاريخ الحصر: 27 أغسطس 2026م. المطلوب لكل صف في ورقة «المفقودات 116»: ملف PDF معتمد يحمل رمز المقرر واسمه. استُبعدت 6 هويات تمثل 8 ظهورات للرسالة والاختبار الشامل لأنها متطلبات دراسات عليا غير تدريسية لا تحتاج توصيف مقرر.</x:v>
      </x:c>
      <x:c r="L38" s="110" t="str">
        <x:v>المصدر: data.json وCOURSE_SPECIFICATIONS_AUDIT.md — تاريخ الحصر: 27 أغسطس 2026م. المطلوب لكل صف في ورقة «المفقودات 116»: ملف PDF معتمد يحمل رمز المقرر واسمه. استُبعدت 6 هويات تمثل 8 ظهورات للرسالة والاختبار الشامل لأنها متطلبات دراسات عليا غير تدريسية لا تحتاج توصيف مقرر.</x:v>
      </x:c>
    </x:row>
    <x:row r="39" ht="42" customHeight="1">
      <x:c r="A39" s="87" t="str">
        <x:v>المصدر: data.json وCOURSE_SPECIFICATIONS_AUDIT.md — تاريخ الحصر: 27 أغسطس 2026م. المطلوب لكل صف في ورقة «المفقودات 116»: ملف PDF معتمد يحمل رمز المقرر واسمه. استُبعدت 6 هويات تمثل 8 ظهورات للرسالة والاختبار الشامل لأنها متطلبات دراسات عليا غير تدريسية لا تحتاج توصيف مقرر.</x:v>
      </x:c>
      <x:c r="B39" s="88" t="str">
        <x:v>المصدر: data.json وCOURSE_SPECIFICATIONS_AUDIT.md — تاريخ الحصر: 27 أغسطس 2026م. المطلوب لكل صف في ورقة «المفقودات 116»: ملف PDF معتمد يحمل رمز المقرر واسمه. استُبعدت 6 هويات تمثل 8 ظهورات للرسالة والاختبار الشامل لأنها متطلبات دراسات عليا غير تدريسية لا تحتاج توصيف مقرر.</x:v>
      </x:c>
      <x:c r="C39" s="88" t="str">
        <x:v>المصدر: data.json وCOURSE_SPECIFICATIONS_AUDIT.md — تاريخ الحصر: 27 أغسطس 2026م. المطلوب لكل صف في ورقة «المفقودات 116»: ملف PDF معتمد يحمل رمز المقرر واسمه. استُبعدت 6 هويات تمثل 8 ظهورات للرسالة والاختبار الشامل لأنها متطلبات دراسات عليا غير تدريسية لا تحتاج توصيف مقرر.</x:v>
      </x:c>
      <x:c r="D39" s="88" t="str">
        <x:v>المصدر: data.json وCOURSE_SPECIFICATIONS_AUDIT.md — تاريخ الحصر: 27 أغسطس 2026م. المطلوب لكل صف في ورقة «المفقودات 116»: ملف PDF معتمد يحمل رمز المقرر واسمه. استُبعدت 6 هويات تمثل 8 ظهورات للرسالة والاختبار الشامل لأنها متطلبات دراسات عليا غير تدريسية لا تحتاج توصيف مقرر.</x:v>
      </x:c>
      <x:c r="E39" s="88" t="str">
        <x:v>المصدر: data.json وCOURSE_SPECIFICATIONS_AUDIT.md — تاريخ الحصر: 27 أغسطس 2026م. المطلوب لكل صف في ورقة «المفقودات 116»: ملف PDF معتمد يحمل رمز المقرر واسمه. استُبعدت 6 هويات تمثل 8 ظهورات للرسالة والاختبار الشامل لأنها متطلبات دراسات عليا غير تدريسية لا تحتاج توصيف مقرر.</x:v>
      </x:c>
      <x:c r="F39" s="88" t="str">
        <x:v>المصدر: data.json وCOURSE_SPECIFICATIONS_AUDIT.md — تاريخ الحصر: 27 أغسطس 2026م. المطلوب لكل صف في ورقة «المفقودات 116»: ملف PDF معتمد يحمل رمز المقرر واسمه. استُبعدت 6 هويات تمثل 8 ظهورات للرسالة والاختبار الشامل لأنها متطلبات دراسات عليا غير تدريسية لا تحتاج توصيف مقرر.</x:v>
      </x:c>
      <x:c r="G39" s="88" t="str">
        <x:v>المصدر: data.json وCOURSE_SPECIFICATIONS_AUDIT.md — تاريخ الحصر: 27 أغسطس 2026م. المطلوب لكل صف في ورقة «المفقودات 116»: ملف PDF معتمد يحمل رمز المقرر واسمه. استُبعدت 6 هويات تمثل 8 ظهورات للرسالة والاختبار الشامل لأنها متطلبات دراسات عليا غير تدريسية لا تحتاج توصيف مقرر.</x:v>
      </x:c>
      <x:c r="H39" s="88" t="str">
        <x:v>المصدر: data.json وCOURSE_SPECIFICATIONS_AUDIT.md — تاريخ الحصر: 27 أغسطس 2026م. المطلوب لكل صف في ورقة «المفقودات 116»: ملف PDF معتمد يحمل رمز المقرر واسمه. استُبعدت 6 هويات تمثل 8 ظهورات للرسالة والاختبار الشامل لأنها متطلبات دراسات عليا غير تدريسية لا تحتاج توصيف مقرر.</x:v>
      </x:c>
      <x:c r="I39" s="88" t="str">
        <x:v>المصدر: data.json وCOURSE_SPECIFICATIONS_AUDIT.md — تاريخ الحصر: 27 أغسطس 2026م. المطلوب لكل صف في ورقة «المفقودات 116»: ملف PDF معتمد يحمل رمز المقرر واسمه. استُبعدت 6 هويات تمثل 8 ظهورات للرسالة والاختبار الشامل لأنها متطلبات دراسات عليا غير تدريسية لا تحتاج توصيف مقرر.</x:v>
      </x:c>
      <x:c r="J39" s="88" t="str">
        <x:v>المصدر: data.json وCOURSE_SPECIFICATIONS_AUDIT.md — تاريخ الحصر: 27 أغسطس 2026م. المطلوب لكل صف في ورقة «المفقودات 116»: ملف PDF معتمد يحمل رمز المقرر واسمه. استُبعدت 6 هويات تمثل 8 ظهورات للرسالة والاختبار الشامل لأنها متطلبات دراسات عليا غير تدريسية لا تحتاج توصيف مقرر.</x:v>
      </x:c>
      <x:c r="K39" s="88" t="str">
        <x:v>المصدر: data.json وCOURSE_SPECIFICATIONS_AUDIT.md — تاريخ الحصر: 27 أغسطس 2026م. المطلوب لكل صف في ورقة «المفقودات 116»: ملف PDF معتمد يحمل رمز المقرر واسمه. استُبعدت 6 هويات تمثل 8 ظهورات للرسالة والاختبار الشامل لأنها متطلبات دراسات عليا غير تدريسية لا تحتاج توصيف مقرر.</x:v>
      </x:c>
      <x:c r="L39" s="89" t="str">
        <x:v>المصدر: data.json وCOURSE_SPECIFICATIONS_AUDIT.md — تاريخ الحصر: 27 أغسطس 2026م. المطلوب لكل صف في ورقة «المفقودات 116»: ملف PDF معتمد يحمل رمز المقرر واسمه. استُبعدت 6 هويات تمثل 8 ظهورات للرسالة والاختبار الشامل لأنها متطلبات دراسات عليا غير تدريسية لا تحتاج توصيف مقرر.</x:v>
      </x:c>
    </x:row>
  </x:sheetData>
  <x:mergeCells>
    <x:mergeCell ref="A1:L1"/>
    <x:mergeCell ref="A2:L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K4:L4"/>
    <x:mergeCell ref="K5:L6"/>
    <x:mergeCell ref="E13:G14"/>
    <x:mergeCell ref="H31:L33"/>
    <x:mergeCell ref="A37:L3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29" hidden="0" customWidth="1"/>
    <x:col min="4" max="4" width="27" hidden="0" customWidth="1"/>
    <x:col min="5" max="5" width="12" hidden="0" customWidth="1"/>
    <x:col min="6" max="6" width="13" hidden="0" customWidth="1"/>
    <x:col min="7" max="7" width="12" hidden="0" customWidth="1"/>
    <x:col min="8" max="8" width="34" hidden="0" customWidth="1"/>
    <x:col min="9" max="9" width="16" hidden="0" customWidth="1"/>
    <x:col min="10" max="10" width="22" hidden="0" customWidth="1"/>
    <x:col min="11" max="11" width="11" hidden="0" customWidth="1"/>
    <x:col min="12" max="12" width="13" hidden="0" customWidth="1"/>
    <x:col min="13" max="13" width="25" hidden="0" customWidth="1"/>
    <x:col min="14" max="14" width="28" hidden="0" customWidth="1"/>
    <x:col min="15" max="15" width="21" hidden="0" customWidth="1"/>
    <x:col min="16" max="16" width="17" hidden="0" customWidth="1"/>
    <x:col min="17" max="17" width="32" hidden="0" customWidth="1"/>
    <x:col min="18" max="18" width="34" hidden="0" customWidth="1"/>
    <x:col min="19" max="19" width="36" hidden="0" customWidth="1"/>
  </x:cols>
  <x:sheetData>
    <x:row r="1" ht="34" customHeight="1">
      <x:c r="A1" s="4" t="str">
        <x:v>المفقودات التي يلزم توفير توصيف PDF لها — 116 هوية</x:v>
      </x:c>
      <x:c r="B1" s="4" t="str">
        <x:v>المفقودات التي يلزم توفير توصيف PDF لها — 116 هوية</x:v>
      </x:c>
      <x:c r="C1" s="4" t="str">
        <x:v>المفقودات التي يلزم توفير توصيف PDF لها — 116 هوية</x:v>
      </x:c>
      <x:c r="D1" s="4" t="str">
        <x:v>المفقودات التي يلزم توفير توصيف PDF لها — 116 هوية</x:v>
      </x:c>
      <x:c r="E1" s="4" t="str">
        <x:v>المفقودات التي يلزم توفير توصيف PDF لها — 116 هوية</x:v>
      </x:c>
      <x:c r="F1" s="4" t="str">
        <x:v>المفقودات التي يلزم توفير توصيف PDF لها — 116 هوية</x:v>
      </x:c>
      <x:c r="G1" s="4" t="str">
        <x:v>المفقودات التي يلزم توفير توصيف PDF لها — 116 هوية</x:v>
      </x:c>
      <x:c r="H1" s="4" t="str">
        <x:v>المفقودات التي يلزم توفير توصيف PDF لها — 116 هوية</x:v>
      </x:c>
      <x:c r="I1" s="4" t="str">
        <x:v>المفقودات التي يلزم توفير توصيف PDF لها — 116 هوية</x:v>
      </x:c>
      <x:c r="J1" s="4" t="str">
        <x:v>المفقودات التي يلزم توفير توصيف PDF لها — 116 هوية</x:v>
      </x:c>
      <x:c r="K1" s="4" t="str">
        <x:v>المفقودات التي يلزم توفير توصيف PDF لها — 116 هوية</x:v>
      </x:c>
      <x:c r="L1" s="4" t="str">
        <x:v>المفقودات التي يلزم توفير توصيف PDF لها — 116 هوية</x:v>
      </x:c>
      <x:c r="M1" s="4" t="str">
        <x:v>المفقودات التي يلزم توفير توصيف PDF لها — 116 هوية</x:v>
      </x:c>
      <x:c r="N1" s="4" t="str">
        <x:v>المفقودات التي يلزم توفير توصيف PDF لها — 116 هوية</x:v>
      </x:c>
      <x:c r="O1" s="4" t="str">
        <x:v>المفقودات التي يلزم توفير توصيف PDF لها — 116 هوية</x:v>
      </x:c>
      <x:c r="P1" s="4" t="str">
        <x:v>المفقودات التي يلزم توفير توصيف PDF لها — 116 هوية</x:v>
      </x:c>
      <x:c r="Q1" s="4" t="str">
        <x:v>المفقودات التي يلزم توفير توصيف PDF لها — 116 هوية</x:v>
      </x:c>
      <x:c r="R1" s="4" t="str">
        <x:v>المفقودات التي يلزم توفير توصيف PDF لها — 116 هوية</x:v>
      </x:c>
      <x:c r="S1" s="4" t="str">
        <x:v>المفقودات التي يلزم توفير توصيف PDF لها — 116 هوية</x:v>
      </x:c>
    </x:row>
    <x:row r="2" ht="42" customHeight="1">
      <x:c r="A2" s="16" t="str">
        <x:v>صف واحد لكل هوية (الرمز + الاسم). استخدم حالة التوفير والرابط/المسار وملاحظات التزويد للمتابعة. لا تشمل القائمة الرسالة والاختبار الشامل؛ وتفاصيل كل موضع في الخطة موجودة في ورقة «مواضع الظهور».</x:v>
      </x:c>
      <x:c r="B2" s="17" t="str">
        <x:v>صف واحد لكل هوية (الرمز + الاسم). استخدم حالة التوفير والرابط/المسار وملاحظات التزويد للمتابعة. لا تشمل القائمة الرسالة والاختبار الشامل؛ وتفاصيل كل موضع في الخطة موجودة في ورقة «مواضع الظهور».</x:v>
      </x:c>
      <x:c r="C2" s="17" t="str">
        <x:v>صف واحد لكل هوية (الرمز + الاسم). استخدم حالة التوفير والرابط/المسار وملاحظات التزويد للمتابعة. لا تشمل القائمة الرسالة والاختبار الشامل؛ وتفاصيل كل موضع في الخطة موجودة في ورقة «مواضع الظهور».</x:v>
      </x:c>
      <x:c r="D2" s="17" t="str">
        <x:v>صف واحد لكل هوية (الرمز + الاسم). استخدم حالة التوفير والرابط/المسار وملاحظات التزويد للمتابعة. لا تشمل القائمة الرسالة والاختبار الشامل؛ وتفاصيل كل موضع في الخطة موجودة في ورقة «مواضع الظهور».</x:v>
      </x:c>
      <x:c r="E2" s="17" t="str">
        <x:v>صف واحد لكل هوية (الرمز + الاسم). استخدم حالة التوفير والرابط/المسار وملاحظات التزويد للمتابعة. لا تشمل القائمة الرسالة والاختبار الشامل؛ وتفاصيل كل موضع في الخطة موجودة في ورقة «مواضع الظهور».</x:v>
      </x:c>
      <x:c r="F2" s="17" t="str">
        <x:v>صف واحد لكل هوية (الرمز + الاسم). استخدم حالة التوفير والرابط/المسار وملاحظات التزويد للمتابعة. لا تشمل القائمة الرسالة والاختبار الشامل؛ وتفاصيل كل موضع في الخطة موجودة في ورقة «مواضع الظهور».</x:v>
      </x:c>
      <x:c r="G2" s="17" t="str">
        <x:v>صف واحد لكل هوية (الرمز + الاسم). استخدم حالة التوفير والرابط/المسار وملاحظات التزويد للمتابعة. لا تشمل القائمة الرسالة والاختبار الشامل؛ وتفاصيل كل موضع في الخطة موجودة في ورقة «مواضع الظهور».</x:v>
      </x:c>
      <x:c r="H2" s="17" t="str">
        <x:v>صف واحد لكل هوية (الرمز + الاسم). استخدم حالة التوفير والرابط/المسار وملاحظات التزويد للمتابعة. لا تشمل القائمة الرسالة والاختبار الشامل؛ وتفاصيل كل موضع في الخطة موجودة في ورقة «مواضع الظهور».</x:v>
      </x:c>
      <x:c r="I2" s="17" t="str">
        <x:v>صف واحد لكل هوية (الرمز + الاسم). استخدم حالة التوفير والرابط/المسار وملاحظات التزويد للمتابعة. لا تشمل القائمة الرسالة والاختبار الشامل؛ وتفاصيل كل موضع في الخطة موجودة في ورقة «مواضع الظهور».</x:v>
      </x:c>
      <x:c r="J2" s="17" t="str">
        <x:v>صف واحد لكل هوية (الرمز + الاسم). استخدم حالة التوفير والرابط/المسار وملاحظات التزويد للمتابعة. لا تشمل القائمة الرسالة والاختبار الشامل؛ وتفاصيل كل موضع في الخطة موجودة في ورقة «مواضع الظهور».</x:v>
      </x:c>
      <x:c r="K2" s="17" t="str">
        <x:v>صف واحد لكل هوية (الرمز + الاسم). استخدم حالة التوفير والرابط/المسار وملاحظات التزويد للمتابعة. لا تشمل القائمة الرسالة والاختبار الشامل؛ وتفاصيل كل موضع في الخطة موجودة في ورقة «مواضع الظهور».</x:v>
      </x:c>
      <x:c r="L2" s="17" t="str">
        <x:v>صف واحد لكل هوية (الرمز + الاسم). استخدم حالة التوفير والرابط/المسار وملاحظات التزويد للمتابعة. لا تشمل القائمة الرسالة والاختبار الشامل؛ وتفاصيل كل موضع في الخطة موجودة في ورقة «مواضع الظهور».</x:v>
      </x:c>
      <x:c r="M2" s="17" t="str">
        <x:v>صف واحد لكل هوية (الرمز + الاسم). استخدم حالة التوفير والرابط/المسار وملاحظات التزويد للمتابعة. لا تشمل القائمة الرسالة والاختبار الشامل؛ وتفاصيل كل موضع في الخطة موجودة في ورقة «مواضع الظهور».</x:v>
      </x:c>
      <x:c r="N2" s="17" t="str">
        <x:v>صف واحد لكل هوية (الرمز + الاسم). استخدم حالة التوفير والرابط/المسار وملاحظات التزويد للمتابعة. لا تشمل القائمة الرسالة والاختبار الشامل؛ وتفاصيل كل موضع في الخطة موجودة في ورقة «مواضع الظهور».</x:v>
      </x:c>
      <x:c r="O2" s="17" t="str">
        <x:v>صف واحد لكل هوية (الرمز + الاسم). استخدم حالة التوفير والرابط/المسار وملاحظات التزويد للمتابعة. لا تشمل القائمة الرسالة والاختبار الشامل؛ وتفاصيل كل موضع في الخطة موجودة في ورقة «مواضع الظهور».</x:v>
      </x:c>
      <x:c r="P2" s="17" t="str">
        <x:v>صف واحد لكل هوية (الرمز + الاسم). استخدم حالة التوفير والرابط/المسار وملاحظات التزويد للمتابعة. لا تشمل القائمة الرسالة والاختبار الشامل؛ وتفاصيل كل موضع في الخطة موجودة في ورقة «مواضع الظهور».</x:v>
      </x:c>
      <x:c r="Q2" s="17" t="str">
        <x:v>صف واحد لكل هوية (الرمز + الاسم). استخدم حالة التوفير والرابط/المسار وملاحظات التزويد للمتابعة. لا تشمل القائمة الرسالة والاختبار الشامل؛ وتفاصيل كل موضع في الخطة موجودة في ورقة «مواضع الظهور».</x:v>
      </x:c>
      <x:c r="R2" s="17" t="str">
        <x:v>صف واحد لكل هوية (الرمز + الاسم). استخدم حالة التوفير والرابط/المسار وملاحظات التزويد للمتابعة. لا تشمل القائمة الرسالة والاختبار الشامل؛ وتفاصيل كل موضع في الخطة موجودة في ورقة «مواضع الظهور».</x:v>
      </x:c>
      <x:c r="S2" s="18" t="str">
        <x:v>صف واحد لكل هوية (الرمز + الاسم). استخدم حالة التوفير والرابط/المسار وملاحظات التزويد للمتابعة. لا تشمل القائمة الرسالة والاختبار الشامل؛ وتفاصيل كل موضع في الخطة موجودة في ورقة «مواضع الظهور».</x:v>
      </x:c>
    </x:row>
    <x:row r="4" ht="32" customHeight="1">
      <x:c r="A4" s="53" t="str">
        <x:v>م</x:v>
      </x:c>
      <x:c r="B4" s="54" t="str">
        <x:v>رمز المقرر</x:v>
      </x:c>
      <x:c r="C4" s="54" t="str">
        <x:v>اسم المقرر</x:v>
      </x:c>
      <x:c r="D4" s="54" t="str">
        <x:v>نطاق الخطة</x:v>
      </x:c>
      <x:c r="E4" s="54" t="str">
        <x:v>ظهورات قديمة</x:v>
      </x:c>
      <x:c r="F4" s="54" t="str">
        <x:v>ظهورات حديثة</x:v>
      </x:c>
      <x:c r="G4" s="54" t="str">
        <x:v>إجمالي الظهورات</x:v>
      </x:c>
      <x:c r="H4" s="54" t="str">
        <x:v>البرامج</x:v>
      </x:c>
      <x:c r="I4" s="54" t="str">
        <x:v>الدرجات</x:v>
      </x:c>
      <x:c r="J4" s="54" t="str">
        <x:v>الإصدارات</x:v>
      </x:c>
      <x:c r="K4" s="54" t="str">
        <x:v>الساعات</x:v>
      </x:c>
      <x:c r="L4" s="54" t="str">
        <x:v>المستويات</x:v>
      </x:c>
      <x:c r="M4" s="54" t="str">
        <x:v>الفئات</x:v>
      </x:c>
      <x:c r="N4" s="54" t="str">
        <x:v>تنبيه الساعات</x:v>
      </x:c>
      <x:c r="O4" s="54" t="str">
        <x:v>اسم الملف المقترح</x:v>
      </x:c>
      <x:c r="P4" s="54" t="str">
        <x:v>حالة التوفير</x:v>
      </x:c>
      <x:c r="Q4" s="54" t="str">
        <x:v>رابط أو مسار الملف</x:v>
      </x:c>
      <x:c r="R4" s="54" t="str">
        <x:v>ملاحظات التزويد</x:v>
      </x:c>
      <x:c r="S4" s="55" t="str">
        <x:v>مفتاح الهوية</x:v>
      </x:c>
    </x:row>
    <x:row r="5" ht="38" customHeight="1">
      <x:c r="A5" s="123" t="n">
        <x:v>1</x:v>
      </x:c>
      <x:c r="B5" s="98" t="str">
        <x:v>101221-2</x:v>
      </x:c>
      <x:c r="C5" s="61" t="str">
        <x:v>الفقه (1)</x:v>
      </x:c>
      <x:c r="D5" s="98" t="str">
        <x:f>IF(AND(E5&gt;0,F5&gt;0),"مشتركة بين القديمة والحديثة",IF(E5&gt;0,"قديمة فقط","حديثة فقط"))</x:f>
        <x:v>قديمة فقط</x:v>
      </x:c>
      <x:c r="E5" s="123" t="n">
        <x:f>COUNTIFS('مواضع الظهور'!$P$5:$P$168,$S5,'مواضع الظهور'!$G$5:$G$168,"قديمة",'مواضع الظهور'!$B$5:$B$168,"مفقود بلا مصدر")</x:f>
        <x:v>1</x:v>
      </x:c>
      <x:c r="F5" s="123" t="n">
        <x:f>COUNTIFS('مواضع الظهور'!$P$5:$P$168,$S5,'مواضع الظهور'!$G$5:$G$168,"حديثة",'مواضع الظهور'!$B$5:$B$168,"مفقود بلا مصدر")</x:f>
        <x:v>0</x:v>
      </x:c>
      <x:c r="G5" s="123" t="n">
        <x:f>SUM(E5:F5)</x:f>
        <x:v>1</x:v>
      </x:c>
      <x:c r="H5" s="61" t="str">
        <x:v>القرآن وعلومه</x:v>
      </x:c>
      <x:c r="I5" s="61" t="str">
        <x:v>بكالوريوس</x:v>
      </x:c>
      <x:c r="J5" s="98" t="str">
        <x:v>قديمة 39</x:v>
      </x:c>
      <x:c r="K5" s="98" t="str">
        <x:v>2</x:v>
      </x:c>
      <x:c r="L5" s="98" t="str">
        <x:v>3</x:v>
      </x:c>
      <x:c r="M5" s="98" t="str">
        <x:v>إجبارية القسم</x:v>
      </x:c>
      <x:c r="N5" s="98" t="str"/>
      <x:c r="O5" s="98" t="str">
        <x:v>101221-2.pdf</x:v>
      </x:c>
      <x:c r="P5" s="98" t="str">
        <x:v>غير متوفر</x:v>
      </x:c>
      <x:c r="Q5" s="98" t="str"/>
      <x:c r="R5" s="61" t="str"/>
      <x:c r="S5" s="121" t="str">
        <x:v>101221-2||الفقه (1)</x:v>
      </x:c>
    </x:row>
    <x:row r="6" ht="38" customHeight="1">
      <x:c r="A6" s="124" t="n">
        <x:v>2</x:v>
      </x:c>
      <x:c r="B6" s="99" t="str">
        <x:v>2001105-2</x:v>
      </x:c>
      <x:c r="C6" s="62" t="str">
        <x:v>المدخل لدراسة الفقه الإسلامي</x:v>
      </x:c>
      <x:c r="D6" s="99" t="str">
        <x:f>IF(AND(E6&gt;0,F6&gt;0),"مشتركة بين القديمة والحديثة",IF(E6&gt;0,"قديمة فقط","حديثة فقط"))</x:f>
        <x:v>قديمة فقط</x:v>
      </x:c>
      <x:c r="E6" s="124" t="n">
        <x:f>COUNTIFS('مواضع الظهور'!$P$5:$P$168,$S6,'مواضع الظهور'!$G$5:$G$168,"قديمة",'مواضع الظهور'!$B$5:$B$168,"مفقود بلا مصدر")</x:f>
        <x:v>1</x:v>
      </x:c>
      <x:c r="F6" s="124" t="n">
        <x:f>COUNTIFS('مواضع الظهور'!$P$5:$P$168,$S6,'مواضع الظهور'!$G$5:$G$168,"حديثة",'مواضع الظهور'!$B$5:$B$168,"مفقود بلا مصدر")</x:f>
        <x:v>0</x:v>
      </x:c>
      <x:c r="G6" s="124" t="n">
        <x:f>SUM(E6:F6)</x:f>
        <x:v>1</x:v>
      </x:c>
      <x:c r="H6" s="62" t="str">
        <x:v>الأنظمة</x:v>
      </x:c>
      <x:c r="I6" s="62" t="str">
        <x:v>بكالوريوس</x:v>
      </x:c>
      <x:c r="J6" s="99" t="str">
        <x:v>قديمة 38</x:v>
      </x:c>
      <x:c r="K6" s="99" t="str">
        <x:v>2</x:v>
      </x:c>
      <x:c r="L6" s="99" t="str">
        <x:v>1</x:v>
      </x:c>
      <x:c r="M6" s="99" t="str">
        <x:v>إجبارية القسم</x:v>
      </x:c>
      <x:c r="N6" s="99" t="str"/>
      <x:c r="O6" s="99" t="str">
        <x:v>2001105-2.pdf</x:v>
      </x:c>
      <x:c r="P6" s="99" t="str">
        <x:v>غير متوفر</x:v>
      </x:c>
      <x:c r="Q6" s="99" t="str"/>
      <x:c r="R6" s="62" t="str"/>
      <x:c r="S6" s="122" t="str">
        <x:v>2001105-2||المدخل لدراسة الفقه الإسلامي</x:v>
      </x:c>
    </x:row>
    <x:row r="7" ht="38" customHeight="1">
      <x:c r="A7" s="124" t="n">
        <x:v>3</x:v>
      </x:c>
      <x:c r="B7" s="99" t="str">
        <x:v>2001113-2</x:v>
      </x:c>
      <x:c r="C7" s="62" t="str">
        <x:v>أصول الفقه (1)</x:v>
      </x:c>
      <x:c r="D7" s="99" t="str">
        <x:f>IF(AND(E7&gt;0,F7&gt;0),"مشتركة بين القديمة والحديثة",IF(E7&gt;0,"قديمة فقط","حديثة فقط"))</x:f>
        <x:v>مشتركة بين القديمة والحديثة</x:v>
      </x:c>
      <x:c r="E7" s="124" t="n">
        <x:f>COUNTIFS('مواضع الظهور'!$P$5:$P$168,$S7,'مواضع الظهور'!$G$5:$G$168,"قديمة",'مواضع الظهور'!$B$5:$B$168,"مفقود بلا مصدر")</x:f>
        <x:v>2</x:v>
      </x:c>
      <x:c r="F7" s="124" t="n">
        <x:f>COUNTIFS('مواضع الظهور'!$P$5:$P$168,$S7,'مواضع الظهور'!$G$5:$G$168,"حديثة",'مواضع الظهور'!$B$5:$B$168,"مفقود بلا مصدر")</x:f>
        <x:v>1</x:v>
      </x:c>
      <x:c r="G7" s="124" t="n">
        <x:f>SUM(E7:F7)</x:f>
        <x:v>3</x:v>
      </x:c>
      <x:c r="H7" s="62" t="str">
        <x:v>الأنظمة؛ القرآن وعلومه</x:v>
      </x:c>
      <x:c r="I7" s="62" t="str">
        <x:v>بكالوريوس</x:v>
      </x:c>
      <x:c r="J7" s="99" t="str">
        <x:v>قديمة 38؛ حديثة 47؛ قديمة 39</x:v>
      </x:c>
      <x:c r="K7" s="99" t="str">
        <x:v>2</x:v>
      </x:c>
      <x:c r="L7" s="99" t="str">
        <x:v>2؛ 5</x:v>
      </x:c>
      <x:c r="M7" s="99" t="str">
        <x:v>إجبارية القسم</x:v>
      </x:c>
      <x:c r="N7" s="99" t="str"/>
      <x:c r="O7" s="99" t="str">
        <x:v>2001113-2.pdf</x:v>
      </x:c>
      <x:c r="P7" s="99" t="str">
        <x:v>غير متوفر</x:v>
      </x:c>
      <x:c r="Q7" s="99" t="str"/>
      <x:c r="R7" s="62" t="str"/>
      <x:c r="S7" s="122" t="str">
        <x:v>2001113-2||أصول الفقه (1)</x:v>
      </x:c>
    </x:row>
    <x:row r="8" ht="38" customHeight="1">
      <x:c r="A8" s="124" t="n">
        <x:v>4</x:v>
      </x:c>
      <x:c r="B8" s="99" t="str">
        <x:v>2001160-2</x:v>
      </x:c>
      <x:c r="C8" s="62" t="str">
        <x:v>المدخل لدراسة الشريعة</x:v>
      </x:c>
      <x:c r="D8" s="99" t="str">
        <x:f>IF(AND(E8&gt;0,F8&gt;0),"مشتركة بين القديمة والحديثة",IF(E8&gt;0,"قديمة فقط","حديثة فقط"))</x:f>
        <x:v>قديمة فقط</x:v>
      </x:c>
      <x:c r="E8" s="124" t="n">
        <x:f>COUNTIFS('مواضع الظهور'!$P$5:$P$168,$S8,'مواضع الظهور'!$G$5:$G$168,"قديمة",'مواضع الظهور'!$B$5:$B$168,"مفقود بلا مصدر")</x:f>
        <x:v>1</x:v>
      </x:c>
      <x:c r="F8" s="124" t="n">
        <x:f>COUNTIFS('مواضع الظهور'!$P$5:$P$168,$S8,'مواضع الظهور'!$G$5:$G$168,"حديثة",'مواضع الظهور'!$B$5:$B$168,"مفقود بلا مصدر")</x:f>
        <x:v>0</x:v>
      </x:c>
      <x:c r="G8" s="124" t="n">
        <x:f>SUM(E8:F8)</x:f>
        <x:v>1</x:v>
      </x:c>
      <x:c r="H8" s="62" t="str">
        <x:v>القرآن وعلومه</x:v>
      </x:c>
      <x:c r="I8" s="62" t="str">
        <x:v>بكالوريوس</x:v>
      </x:c>
      <x:c r="J8" s="99" t="str">
        <x:v>قديمة 39</x:v>
      </x:c>
      <x:c r="K8" s="99" t="str">
        <x:v>2</x:v>
      </x:c>
      <x:c r="L8" s="99" t="str">
        <x:v>1</x:v>
      </x:c>
      <x:c r="M8" s="99" t="str">
        <x:v>إجبارية القسم</x:v>
      </x:c>
      <x:c r="N8" s="99" t="str"/>
      <x:c r="O8" s="99" t="str">
        <x:v>2001160-2.pdf</x:v>
      </x:c>
      <x:c r="P8" s="99" t="str">
        <x:v>غير متوفر</x:v>
      </x:c>
      <x:c r="Q8" s="99" t="str"/>
      <x:c r="R8" s="62" t="str"/>
      <x:c r="S8" s="122" t="str">
        <x:v>2001160-2||المدخل لدراسة الشريعة</x:v>
      </x:c>
    </x:row>
    <x:row r="9" ht="38" customHeight="1">
      <x:c r="A9" s="124" t="n">
        <x:v>5</x:v>
      </x:c>
      <x:c r="B9" s="99" t="str">
        <x:v>2001192-2</x:v>
      </x:c>
      <x:c r="C9" s="62" t="str">
        <x:v>علوم الحديث (2)</x:v>
      </x:c>
      <x:c r="D9" s="99" t="str">
        <x:f>IF(AND(E9&gt;0,F9&gt;0),"مشتركة بين القديمة والحديثة",IF(E9&gt;0,"قديمة فقط","حديثة فقط"))</x:f>
        <x:v>قديمة فقط</x:v>
      </x:c>
      <x:c r="E9" s="124" t="n">
        <x:f>COUNTIFS('مواضع الظهور'!$P$5:$P$168,$S9,'مواضع الظهور'!$G$5:$G$168,"قديمة",'مواضع الظهور'!$B$5:$B$168,"مفقود بلا مصدر")</x:f>
        <x:v>2</x:v>
      </x:c>
      <x:c r="F9" s="124" t="n">
        <x:f>COUNTIFS('مواضع الظهور'!$P$5:$P$168,$S9,'مواضع الظهور'!$G$5:$G$168,"حديثة",'مواضع الظهور'!$B$5:$B$168,"مفقود بلا مصدر")</x:f>
        <x:v>0</x:v>
      </x:c>
      <x:c r="G9" s="124" t="n">
        <x:f>SUM(E9:F9)</x:f>
        <x:v>2</x:v>
      </x:c>
      <x:c r="H9" s="62" t="str">
        <x:v>الشريعة</x:v>
      </x:c>
      <x:c r="I9" s="62" t="str">
        <x:v>بكالوريوس</x:v>
      </x:c>
      <x:c r="J9" s="99" t="str">
        <x:v>قديمة 38؛ قديمة 39</x:v>
      </x:c>
      <x:c r="K9" s="99" t="str">
        <x:v>2</x:v>
      </x:c>
      <x:c r="L9" s="99" t="str">
        <x:v>2</x:v>
      </x:c>
      <x:c r="M9" s="99" t="str">
        <x:v>إجبارية القسم</x:v>
      </x:c>
      <x:c r="N9" s="99" t="str"/>
      <x:c r="O9" s="99" t="str">
        <x:v>2001192-2.pdf</x:v>
      </x:c>
      <x:c r="P9" s="99" t="str">
        <x:v>غير متوفر</x:v>
      </x:c>
      <x:c r="Q9" s="99" t="str"/>
      <x:c r="R9" s="62" t="str"/>
      <x:c r="S9" s="122" t="str">
        <x:v>2001192-2||علوم الحديث (2)</x:v>
      </x:c>
    </x:row>
    <x:row r="10" ht="38" customHeight="1">
      <x:c r="A10" s="124" t="n">
        <x:v>6</x:v>
      </x:c>
      <x:c r="B10" s="99" t="str">
        <x:v>2001193-2</x:v>
      </x:c>
      <x:c r="C10" s="62" t="str">
        <x:v>علوم الحديث (1)</x:v>
      </x:c>
      <x:c r="D10" s="99" t="str">
        <x:f>IF(AND(E10&gt;0,F10&gt;0),"مشتركة بين القديمة والحديثة",IF(E10&gt;0,"قديمة فقط","حديثة فقط"))</x:f>
        <x:v>قديمة فقط</x:v>
      </x:c>
      <x:c r="E10" s="124" t="n">
        <x:f>COUNTIFS('مواضع الظهور'!$P$5:$P$168,$S10,'مواضع الظهور'!$G$5:$G$168,"قديمة",'مواضع الظهور'!$B$5:$B$168,"مفقود بلا مصدر")</x:f>
        <x:v>2</x:v>
      </x:c>
      <x:c r="F10" s="124" t="n">
        <x:f>COUNTIFS('مواضع الظهور'!$P$5:$P$168,$S10,'مواضع الظهور'!$G$5:$G$168,"حديثة",'مواضع الظهور'!$B$5:$B$168,"مفقود بلا مصدر")</x:f>
        <x:v>0</x:v>
      </x:c>
      <x:c r="G10" s="124" t="n">
        <x:f>SUM(E10:F10)</x:f>
        <x:v>2</x:v>
      </x:c>
      <x:c r="H10" s="62" t="str">
        <x:v>الشريعة</x:v>
      </x:c>
      <x:c r="I10" s="62" t="str">
        <x:v>بكالوريوس</x:v>
      </x:c>
      <x:c r="J10" s="99" t="str">
        <x:v>قديمة 38؛ قديمة 39</x:v>
      </x:c>
      <x:c r="K10" s="99" t="str">
        <x:v>2</x:v>
      </x:c>
      <x:c r="L10" s="99" t="str">
        <x:v>1</x:v>
      </x:c>
      <x:c r="M10" s="99" t="str">
        <x:v>إجبارية القسم</x:v>
      </x:c>
      <x:c r="N10" s="99" t="str"/>
      <x:c r="O10" s="99" t="str">
        <x:v>2001193-2.pdf</x:v>
      </x:c>
      <x:c r="P10" s="99" t="str">
        <x:v>غير متوفر</x:v>
      </x:c>
      <x:c r="Q10" s="99" t="str"/>
      <x:c r="R10" s="62" t="str"/>
      <x:c r="S10" s="122" t="str">
        <x:v>2001193-2||علوم الحديث (1)</x:v>
      </x:c>
    </x:row>
    <x:row r="11" ht="38" customHeight="1">
      <x:c r="A11" s="124" t="n">
        <x:v>7</x:v>
      </x:c>
      <x:c r="B11" s="99" t="str">
        <x:v>2001205-2</x:v>
      </x:c>
      <x:c r="C11" s="62" t="str">
        <x:v>الحديث (1)</x:v>
      </x:c>
      <x:c r="D11" s="99" t="str">
        <x:f>IF(AND(E11&gt;0,F11&gt;0),"مشتركة بين القديمة والحديثة",IF(E11&gt;0,"قديمة فقط","حديثة فقط"))</x:f>
        <x:v>قديمة فقط</x:v>
      </x:c>
      <x:c r="E11" s="124" t="n">
        <x:f>COUNTIFS('مواضع الظهور'!$P$5:$P$168,$S11,'مواضع الظهور'!$G$5:$G$168,"قديمة",'مواضع الظهور'!$B$5:$B$168,"مفقود بلا مصدر")</x:f>
        <x:v>2</x:v>
      </x:c>
      <x:c r="F11" s="124" t="n">
        <x:f>COUNTIFS('مواضع الظهور'!$P$5:$P$168,$S11,'مواضع الظهور'!$G$5:$G$168,"حديثة",'مواضع الظهور'!$B$5:$B$168,"مفقود بلا مصدر")</x:f>
        <x:v>0</x:v>
      </x:c>
      <x:c r="G11" s="124" t="n">
        <x:f>SUM(E11:F11)</x:f>
        <x:v>2</x:v>
      </x:c>
      <x:c r="H11" s="62" t="str">
        <x:v>القرآن وعلومه؛ القراءات</x:v>
      </x:c>
      <x:c r="I11" s="62" t="str">
        <x:v>بكالوريوس</x:v>
      </x:c>
      <x:c r="J11" s="99" t="str">
        <x:v>قديمة 39؛ قديمة 38</x:v>
      </x:c>
      <x:c r="K11" s="99" t="str">
        <x:v>2</x:v>
      </x:c>
      <x:c r="L11" s="99" t="str">
        <x:v>3</x:v>
      </x:c>
      <x:c r="M11" s="99" t="str">
        <x:v>إجبارية القسم</x:v>
      </x:c>
      <x:c r="N11" s="99" t="str"/>
      <x:c r="O11" s="99" t="str">
        <x:v>2001205-2.pdf</x:v>
      </x:c>
      <x:c r="P11" s="99" t="str">
        <x:v>غير متوفر</x:v>
      </x:c>
      <x:c r="Q11" s="99" t="str"/>
      <x:c r="R11" s="62" t="str"/>
      <x:c r="S11" s="122" t="str">
        <x:v>2001205-2||الحديث (1)</x:v>
      </x:c>
    </x:row>
    <x:row r="12" ht="38" customHeight="1">
      <x:c r="A12" s="124" t="n">
        <x:v>8</x:v>
      </x:c>
      <x:c r="B12" s="99" t="str">
        <x:v>2001209-2</x:v>
      </x:c>
      <x:c r="C12" s="62" t="str">
        <x:v>الحديث (2)</x:v>
      </x:c>
      <x:c r="D12" s="99" t="str">
        <x:f>IF(AND(E12&gt;0,F12&gt;0),"مشتركة بين القديمة والحديثة",IF(E12&gt;0,"قديمة فقط","حديثة فقط"))</x:f>
        <x:v>قديمة فقط</x:v>
      </x:c>
      <x:c r="E12" s="124" t="n">
        <x:f>COUNTIFS('مواضع الظهور'!$P$5:$P$168,$S12,'مواضع الظهور'!$G$5:$G$168,"قديمة",'مواضع الظهور'!$B$5:$B$168,"مفقود بلا مصدر")</x:f>
        <x:v>2</x:v>
      </x:c>
      <x:c r="F12" s="124" t="n">
        <x:f>COUNTIFS('مواضع الظهور'!$P$5:$P$168,$S12,'مواضع الظهور'!$G$5:$G$168,"حديثة",'مواضع الظهور'!$B$5:$B$168,"مفقود بلا مصدر")</x:f>
        <x:v>0</x:v>
      </x:c>
      <x:c r="G12" s="124" t="n">
        <x:f>SUM(E12:F12)</x:f>
        <x:v>2</x:v>
      </x:c>
      <x:c r="H12" s="62" t="str">
        <x:v>القرآن وعلومه؛ القراءات</x:v>
      </x:c>
      <x:c r="I12" s="62" t="str">
        <x:v>بكالوريوس</x:v>
      </x:c>
      <x:c r="J12" s="99" t="str">
        <x:v>قديمة 39؛ قديمة 38</x:v>
      </x:c>
      <x:c r="K12" s="99" t="str">
        <x:v>2</x:v>
      </x:c>
      <x:c r="L12" s="99" t="str">
        <x:v>4</x:v>
      </x:c>
      <x:c r="M12" s="99" t="str">
        <x:v>إجبارية القسم</x:v>
      </x:c>
      <x:c r="N12" s="99" t="str"/>
      <x:c r="O12" s="99" t="str">
        <x:v>2001209-2.pdf</x:v>
      </x:c>
      <x:c r="P12" s="99" t="str">
        <x:v>غير متوفر</x:v>
      </x:c>
      <x:c r="Q12" s="99" t="str"/>
      <x:c r="R12" s="62" t="str"/>
      <x:c r="S12" s="122" t="str">
        <x:v>2001209-2||الحديث (2)</x:v>
      </x:c>
    </x:row>
    <x:row r="13" ht="38" customHeight="1">
      <x:c r="A13" s="124" t="n">
        <x:v>9</x:v>
      </x:c>
      <x:c r="B13" s="99" t="str">
        <x:v>2001217-4</x:v>
      </x:c>
      <x:c r="C13" s="62" t="str">
        <x:v>أدلة الأحكام الشرعية (2)</x:v>
      </x:c>
      <x:c r="D13" s="99" t="str">
        <x:f>IF(AND(E13&gt;0,F13&gt;0),"مشتركة بين القديمة والحديثة",IF(E13&gt;0,"قديمة فقط","حديثة فقط"))</x:f>
        <x:v>قديمة فقط</x:v>
      </x:c>
      <x:c r="E13" s="124" t="n">
        <x:f>COUNTIFS('مواضع الظهور'!$P$5:$P$168,$S13,'مواضع الظهور'!$G$5:$G$168,"قديمة",'مواضع الظهور'!$B$5:$B$168,"مفقود بلا مصدر")</x:f>
        <x:v>2</x:v>
      </x:c>
      <x:c r="F13" s="124" t="n">
        <x:f>COUNTIFS('مواضع الظهور'!$P$5:$P$168,$S13,'مواضع الظهور'!$G$5:$G$168,"حديثة",'مواضع الظهور'!$B$5:$B$168,"مفقود بلا مصدر")</x:f>
        <x:v>0</x:v>
      </x:c>
      <x:c r="G13" s="124" t="n">
        <x:f>SUM(E13:F13)</x:f>
        <x:v>2</x:v>
      </x:c>
      <x:c r="H13" s="62" t="str">
        <x:v>الشريعة</x:v>
      </x:c>
      <x:c r="I13" s="62" t="str">
        <x:v>بكالوريوس</x:v>
      </x:c>
      <x:c r="J13" s="99" t="str">
        <x:v>قديمة 38؛ قديمة 39</x:v>
      </x:c>
      <x:c r="K13" s="99" t="str">
        <x:v>4</x:v>
      </x:c>
      <x:c r="L13" s="99" t="str">
        <x:v>4</x:v>
      </x:c>
      <x:c r="M13" s="99" t="str">
        <x:v>إجبارية القسم</x:v>
      </x:c>
      <x:c r="N13" s="99" t="str"/>
      <x:c r="O13" s="99" t="str">
        <x:v>2001217-4.pdf</x:v>
      </x:c>
      <x:c r="P13" s="99" t="str">
        <x:v>غير متوفر</x:v>
      </x:c>
      <x:c r="Q13" s="99" t="str"/>
      <x:c r="R13" s="62" t="str"/>
      <x:c r="S13" s="122" t="str">
        <x:v>2001217-4||أدلة الأحكام الشرعية (2)</x:v>
      </x:c>
    </x:row>
    <x:row r="14" ht="38" customHeight="1">
      <x:c r="A14" s="124" t="n">
        <x:v>10</x:v>
      </x:c>
      <x:c r="B14" s="99" t="str">
        <x:v>2001218-2</x:v>
      </x:c>
      <x:c r="C14" s="62" t="str">
        <x:v>قاعة بحث (تطبيقي)</x:v>
      </x:c>
      <x:c r="D14" s="99" t="str">
        <x:f>IF(AND(E14&gt;0,F14&gt;0),"مشتركة بين القديمة والحديثة",IF(E14&gt;0,"قديمة فقط","حديثة فقط"))</x:f>
        <x:v>قديمة فقط</x:v>
      </x:c>
      <x:c r="E14" s="124" t="n">
        <x:f>COUNTIFS('مواضع الظهور'!$P$5:$P$168,$S14,'مواضع الظهور'!$G$5:$G$168,"قديمة",'مواضع الظهور'!$B$5:$B$168,"مفقود بلا مصدر")</x:f>
        <x:v>1</x:v>
      </x:c>
      <x:c r="F14" s="124" t="n">
        <x:f>COUNTIFS('مواضع الظهور'!$P$5:$P$168,$S14,'مواضع الظهور'!$G$5:$G$168,"حديثة",'مواضع الظهور'!$B$5:$B$168,"مفقود بلا مصدر")</x:f>
        <x:v>0</x:v>
      </x:c>
      <x:c r="G14" s="124" t="n">
        <x:f>SUM(E14:F14)</x:f>
        <x:v>1</x:v>
      </x:c>
      <x:c r="H14" s="62" t="str">
        <x:v>الشريعة</x:v>
      </x:c>
      <x:c r="I14" s="62" t="str">
        <x:v>بكالوريوس</x:v>
      </x:c>
      <x:c r="J14" s="99" t="str">
        <x:v>قديمة 38</x:v>
      </x:c>
      <x:c r="K14" s="99" t="str">
        <x:v>2</x:v>
      </x:c>
      <x:c r="L14" s="99" t="str">
        <x:v>4</x:v>
      </x:c>
      <x:c r="M14" s="99" t="str">
        <x:v>إجبارية القسم</x:v>
      </x:c>
      <x:c r="N14" s="99" t="str"/>
      <x:c r="O14" s="99" t="str">
        <x:v>2001218-2.pdf</x:v>
      </x:c>
      <x:c r="P14" s="99" t="str">
        <x:v>غير متوفر</x:v>
      </x:c>
      <x:c r="Q14" s="99" t="str"/>
      <x:c r="R14" s="62" t="str"/>
      <x:c r="S14" s="122" t="str">
        <x:v>2001218-2||قاعة بحث (تطبيقي)</x:v>
      </x:c>
    </x:row>
    <x:row r="15" ht="38" customHeight="1">
      <x:c r="A15" s="124" t="n">
        <x:v>11</x:v>
      </x:c>
      <x:c r="B15" s="99" t="str">
        <x:v>2001219-3</x:v>
      </x:c>
      <x:c r="C15" s="62" t="str">
        <x:v>أدلة الأحكام الشرعية (1)</x:v>
      </x:c>
      <x:c r="D15" s="99" t="str">
        <x:f>IF(AND(E15&gt;0,F15&gt;0),"مشتركة بين القديمة والحديثة",IF(E15&gt;0,"قديمة فقط","حديثة فقط"))</x:f>
        <x:v>قديمة فقط</x:v>
      </x:c>
      <x:c r="E15" s="124" t="n">
        <x:f>COUNTIFS('مواضع الظهور'!$P$5:$P$168,$S15,'مواضع الظهور'!$G$5:$G$168,"قديمة",'مواضع الظهور'!$B$5:$B$168,"مفقود بلا مصدر")</x:f>
        <x:v>2</x:v>
      </x:c>
      <x:c r="F15" s="124" t="n">
        <x:f>COUNTIFS('مواضع الظهور'!$P$5:$P$168,$S15,'مواضع الظهور'!$G$5:$G$168,"حديثة",'مواضع الظهور'!$B$5:$B$168,"مفقود بلا مصدر")</x:f>
        <x:v>0</x:v>
      </x:c>
      <x:c r="G15" s="124" t="n">
        <x:f>SUM(E15:F15)</x:f>
        <x:v>2</x:v>
      </x:c>
      <x:c r="H15" s="62" t="str">
        <x:v>الشريعة</x:v>
      </x:c>
      <x:c r="I15" s="62" t="str">
        <x:v>بكالوريوس</x:v>
      </x:c>
      <x:c r="J15" s="99" t="str">
        <x:v>قديمة 38؛ قديمة 39</x:v>
      </x:c>
      <x:c r="K15" s="99" t="str">
        <x:v>3</x:v>
      </x:c>
      <x:c r="L15" s="99" t="str">
        <x:v>3</x:v>
      </x:c>
      <x:c r="M15" s="99" t="str">
        <x:v>إجبارية القسم</x:v>
      </x:c>
      <x:c r="N15" s="99" t="str"/>
      <x:c r="O15" s="99" t="str">
        <x:v>2001219-3.pdf</x:v>
      </x:c>
      <x:c r="P15" s="99" t="str">
        <x:v>غير متوفر</x:v>
      </x:c>
      <x:c r="Q15" s="99" t="str"/>
      <x:c r="R15" s="62" t="str"/>
      <x:c r="S15" s="122" t="str">
        <x:v>2001219-3||أدلة الأحكام الشرعية (1)</x:v>
      </x:c>
    </x:row>
    <x:row r="16" ht="38" customHeight="1">
      <x:c r="A16" s="124" t="n">
        <x:v>12</x:v>
      </x:c>
      <x:c r="B16" s="99" t="str">
        <x:v>2001220-3</x:v>
      </x:c>
      <x:c r="C16" s="62" t="str">
        <x:v>فقه المعاملات</x:v>
      </x:c>
      <x:c r="D16" s="99" t="str">
        <x:f>IF(AND(E16&gt;0,F16&gt;0),"مشتركة بين القديمة والحديثة",IF(E16&gt;0,"قديمة فقط","حديثة فقط"))</x:f>
        <x:v>قديمة فقط</x:v>
      </x:c>
      <x:c r="E16" s="124" t="n">
        <x:f>COUNTIFS('مواضع الظهور'!$P$5:$P$168,$S16,'مواضع الظهور'!$G$5:$G$168,"قديمة",'مواضع الظهور'!$B$5:$B$168,"مفقود بلا مصدر")</x:f>
        <x:v>1</x:v>
      </x:c>
      <x:c r="F16" s="124" t="n">
        <x:f>COUNTIFS('مواضع الظهور'!$P$5:$P$168,$S16,'مواضع الظهور'!$G$5:$G$168,"حديثة",'مواضع الظهور'!$B$5:$B$168,"مفقود بلا مصدر")</x:f>
        <x:v>0</x:v>
      </x:c>
      <x:c r="G16" s="124" t="n">
        <x:f>SUM(E16:F16)</x:f>
        <x:v>1</x:v>
      </x:c>
      <x:c r="H16" s="62" t="str">
        <x:v>الأنظمة</x:v>
      </x:c>
      <x:c r="I16" s="62" t="str">
        <x:v>بكالوريوس</x:v>
      </x:c>
      <x:c r="J16" s="99" t="str">
        <x:v>قديمة 38</x:v>
      </x:c>
      <x:c r="K16" s="99" t="str">
        <x:v>3</x:v>
      </x:c>
      <x:c r="L16" s="99" t="str">
        <x:v>6</x:v>
      </x:c>
      <x:c r="M16" s="99" t="str">
        <x:v>إجبارية القسم</x:v>
      </x:c>
      <x:c r="N16" s="99" t="str"/>
      <x:c r="O16" s="99" t="str">
        <x:v>2001220-3.pdf</x:v>
      </x:c>
      <x:c r="P16" s="99" t="str">
        <x:v>غير متوفر</x:v>
      </x:c>
      <x:c r="Q16" s="99" t="str"/>
      <x:c r="R16" s="62" t="str"/>
      <x:c r="S16" s="122" t="str">
        <x:v>2001220-3||فقه المعاملات</x:v>
      </x:c>
    </x:row>
    <x:row r="17" ht="38" customHeight="1">
      <x:c r="A17" s="124" t="n">
        <x:v>13</x:v>
      </x:c>
      <x:c r="B17" s="99" t="str">
        <x:v>2001221-2</x:v>
      </x:c>
      <x:c r="C17" s="62" t="str">
        <x:v>الفقه (1)</x:v>
      </x:c>
      <x:c r="D17" s="99" t="str">
        <x:f>IF(AND(E17&gt;0,F17&gt;0),"مشتركة بين القديمة والحديثة",IF(E17&gt;0,"قديمة فقط","حديثة فقط"))</x:f>
        <x:v>مشتركة بين القديمة والحديثة</x:v>
      </x:c>
      <x:c r="E17" s="124" t="n">
        <x:f>COUNTIFS('مواضع الظهور'!$P$5:$P$168,$S17,'مواضع الظهور'!$G$5:$G$168,"قديمة",'مواضع الظهور'!$B$5:$B$168,"مفقود بلا مصدر")</x:f>
        <x:v>1</x:v>
      </x:c>
      <x:c r="F17" s="124" t="n">
        <x:f>COUNTIFS('مواضع الظهور'!$P$5:$P$168,$S17,'مواضع الظهور'!$G$5:$G$168,"حديثة",'مواضع الظهور'!$B$5:$B$168,"مفقود بلا مصدر")</x:f>
        <x:v>2</x:v>
      </x:c>
      <x:c r="G17" s="124" t="n">
        <x:f>SUM(E17:F17)</x:f>
        <x:v>3</x:v>
      </x:c>
      <x:c r="H17" s="62" t="str">
        <x:v>القرآن وعلومه؛ القراءات</x:v>
      </x:c>
      <x:c r="I17" s="62" t="str">
        <x:v>بكالوريوس</x:v>
      </x:c>
      <x:c r="J17" s="99" t="str">
        <x:v>حديثة 47؛ قديمة 38</x:v>
      </x:c>
      <x:c r="K17" s="99" t="str">
        <x:v>2</x:v>
      </x:c>
      <x:c r="L17" s="99" t="str">
        <x:v>3</x:v>
      </x:c>
      <x:c r="M17" s="99" t="str">
        <x:v>إجبارية القسم؛ متطلبات الكلية</x:v>
      </x:c>
      <x:c r="N17" s="99" t="str"/>
      <x:c r="O17" s="99" t="str">
        <x:v>2001221-2.pdf</x:v>
      </x:c>
      <x:c r="P17" s="99" t="str">
        <x:v>غير متوفر</x:v>
      </x:c>
      <x:c r="Q17" s="99" t="str"/>
      <x:c r="R17" s="62" t="str"/>
      <x:c r="S17" s="122" t="str">
        <x:v>2001221-2||الفقه (1)</x:v>
      </x:c>
    </x:row>
    <x:row r="18" ht="38" customHeight="1">
      <x:c r="A18" s="124" t="n">
        <x:v>14</x:v>
      </x:c>
      <x:c r="B18" s="99" t="str">
        <x:v>2001231-2</x:v>
      </x:c>
      <x:c r="C18" s="62" t="str">
        <x:v>أحاديث الأحكام (1)</x:v>
      </x:c>
      <x:c r="D18" s="99" t="str">
        <x:f>IF(AND(E18&gt;0,F18&gt;0),"مشتركة بين القديمة والحديثة",IF(E18&gt;0,"قديمة فقط","حديثة فقط"))</x:f>
        <x:v>قديمة فقط</x:v>
      </x:c>
      <x:c r="E18" s="124" t="n">
        <x:f>COUNTIFS('مواضع الظهور'!$P$5:$P$168,$S18,'مواضع الظهور'!$G$5:$G$168,"قديمة",'مواضع الظهور'!$B$5:$B$168,"مفقود بلا مصدر")</x:f>
        <x:v>2</x:v>
      </x:c>
      <x:c r="F18" s="124" t="n">
        <x:f>COUNTIFS('مواضع الظهور'!$P$5:$P$168,$S18,'مواضع الظهور'!$G$5:$G$168,"حديثة",'مواضع الظهور'!$B$5:$B$168,"مفقود بلا مصدر")</x:f>
        <x:v>0</x:v>
      </x:c>
      <x:c r="G18" s="124" t="n">
        <x:f>SUM(E18:F18)</x:f>
        <x:v>2</x:v>
      </x:c>
      <x:c r="H18" s="62" t="str">
        <x:v>الشريعة</x:v>
      </x:c>
      <x:c r="I18" s="62" t="str">
        <x:v>بكالوريوس</x:v>
      </x:c>
      <x:c r="J18" s="99" t="str">
        <x:v>قديمة 38؛ قديمة 39</x:v>
      </x:c>
      <x:c r="K18" s="99" t="str">
        <x:v>2</x:v>
      </x:c>
      <x:c r="L18" s="99" t="str">
        <x:v>3</x:v>
      </x:c>
      <x:c r="M18" s="99" t="str">
        <x:v>إجبارية القسم</x:v>
      </x:c>
      <x:c r="N18" s="99" t="str"/>
      <x:c r="O18" s="99" t="str">
        <x:v>2001231-2.pdf</x:v>
      </x:c>
      <x:c r="P18" s="99" t="str">
        <x:v>غير متوفر</x:v>
      </x:c>
      <x:c r="Q18" s="99" t="str"/>
      <x:c r="R18" s="62" t="str"/>
      <x:c r="S18" s="122" t="str">
        <x:v>2001231-2||أحاديث الأحكام (1)</x:v>
      </x:c>
    </x:row>
    <x:row r="19" ht="38" customHeight="1">
      <x:c r="A19" s="124" t="n">
        <x:v>15</x:v>
      </x:c>
      <x:c r="B19" s="99" t="str">
        <x:v>2001265-3</x:v>
      </x:c>
      <x:c r="C19" s="62" t="str">
        <x:v>الفقه (٣)</x:v>
      </x:c>
      <x:c r="D19" s="99" t="str">
        <x:f>IF(AND(E19&gt;0,F19&gt;0),"مشتركة بين القديمة والحديثة",IF(E19&gt;0,"قديمة فقط","حديثة فقط"))</x:f>
        <x:v>حديثة فقط</x:v>
      </x:c>
      <x:c r="E19" s="124" t="n">
        <x:f>COUNTIFS('مواضع الظهور'!$P$5:$P$168,$S19,'مواضع الظهور'!$G$5:$G$168,"قديمة",'مواضع الظهور'!$B$5:$B$168,"مفقود بلا مصدر")</x:f>
        <x:v>0</x:v>
      </x:c>
      <x:c r="F19" s="124" t="n">
        <x:f>COUNTIFS('مواضع الظهور'!$P$5:$P$168,$S19,'مواضع الظهور'!$G$5:$G$168,"حديثة",'مواضع الظهور'!$B$5:$B$168,"مفقود بلا مصدر")</x:f>
        <x:v>1</x:v>
      </x:c>
      <x:c r="G19" s="124" t="n">
        <x:f>SUM(E19:F19)</x:f>
        <x:v>1</x:v>
      </x:c>
      <x:c r="H19" s="62" t="str">
        <x:v>الدراسات الإسلامية</x:v>
      </x:c>
      <x:c r="I19" s="62" t="str">
        <x:v>بكالوريوس</x:v>
      </x:c>
      <x:c r="J19" s="99" t="str">
        <x:v>حديثة 47</x:v>
      </x:c>
      <x:c r="K19" s="99" t="str">
        <x:v>3</x:v>
      </x:c>
      <x:c r="L19" s="99" t="str">
        <x:v>4</x:v>
      </x:c>
      <x:c r="M19" s="99" t="str">
        <x:v>إجبارية القسم</x:v>
      </x:c>
      <x:c r="N19" s="99" t="str"/>
      <x:c r="O19" s="99" t="str">
        <x:v>2001265-3.pdf</x:v>
      </x:c>
      <x:c r="P19" s="99" t="str">
        <x:v>غير متوفر</x:v>
      </x:c>
      <x:c r="Q19" s="99" t="str"/>
      <x:c r="R19" s="62" t="str"/>
      <x:c r="S19" s="122" t="str">
        <x:v>2001265-3||الفقه (٣)</x:v>
      </x:c>
    </x:row>
    <x:row r="20" ht="38" customHeight="1">
      <x:c r="A20" s="124" t="n">
        <x:v>16</x:v>
      </x:c>
      <x:c r="B20" s="99" t="str">
        <x:v>2001270-2</x:v>
      </x:c>
      <x:c r="C20" s="62" t="str">
        <x:v>فقه النوازل</x:v>
      </x:c>
      <x:c r="D20" s="99" t="str">
        <x:f>IF(AND(E20&gt;0,F20&gt;0),"مشتركة بين القديمة والحديثة",IF(E20&gt;0,"قديمة فقط","حديثة فقط"))</x:f>
        <x:v>حديثة فقط</x:v>
      </x:c>
      <x:c r="E20" s="124" t="n">
        <x:f>COUNTIFS('مواضع الظهور'!$P$5:$P$168,$S20,'مواضع الظهور'!$G$5:$G$168,"قديمة",'مواضع الظهور'!$B$5:$B$168,"مفقود بلا مصدر")</x:f>
        <x:v>0</x:v>
      </x:c>
      <x:c r="F20" s="124" t="n">
        <x:f>COUNTIFS('مواضع الظهور'!$P$5:$P$168,$S20,'مواضع الظهور'!$G$5:$G$168,"حديثة",'مواضع الظهور'!$B$5:$B$168,"مفقود بلا مصدر")</x:f>
        <x:v>1</x:v>
      </x:c>
      <x:c r="G20" s="124" t="n">
        <x:f>SUM(E20:F20)</x:f>
        <x:v>1</x:v>
      </x:c>
      <x:c r="H20" s="62" t="str">
        <x:v>الدراسات الإسلامية</x:v>
      </x:c>
      <x:c r="I20" s="62" t="str">
        <x:v>بكالوريوس</x:v>
      </x:c>
      <x:c r="J20" s="99" t="str">
        <x:v>حديثة 47</x:v>
      </x:c>
      <x:c r="K20" s="99" t="str">
        <x:v>2</x:v>
      </x:c>
      <x:c r="L20" s="99" t="str">
        <x:v>8</x:v>
      </x:c>
      <x:c r="M20" s="99" t="str">
        <x:v>إجبارية القسم</x:v>
      </x:c>
      <x:c r="N20" s="99" t="str"/>
      <x:c r="O20" s="99" t="str">
        <x:v>2001270-2.pdf</x:v>
      </x:c>
      <x:c r="P20" s="99" t="str">
        <x:v>غير متوفر</x:v>
      </x:c>
      <x:c r="Q20" s="99" t="str"/>
      <x:c r="R20" s="62" t="str"/>
      <x:c r="S20" s="122" t="str">
        <x:v>2001270-2||فقه النوازل</x:v>
      </x:c>
    </x:row>
    <x:row r="21" ht="38" customHeight="1">
      <x:c r="A21" s="124" t="n">
        <x:v>17</x:v>
      </x:c>
      <x:c r="B21" s="99" t="str">
        <x:v>2001273-2</x:v>
      </x:c>
      <x:c r="C21" s="62" t="str">
        <x:v>العقيدة (1)</x:v>
      </x:c>
      <x:c r="D21" s="99" t="str">
        <x:f>IF(AND(E21&gt;0,F21&gt;0),"مشتركة بين القديمة والحديثة",IF(E21&gt;0,"قديمة فقط","حديثة فقط"))</x:f>
        <x:v>قديمة فقط</x:v>
      </x:c>
      <x:c r="E21" s="124" t="n">
        <x:f>COUNTIFS('مواضع الظهور'!$P$5:$P$168,$S21,'مواضع الظهور'!$G$5:$G$168,"قديمة",'مواضع الظهور'!$B$5:$B$168,"مفقود بلا مصدر")</x:f>
        <x:v>1</x:v>
      </x:c>
      <x:c r="F21" s="124" t="n">
        <x:f>COUNTIFS('مواضع الظهور'!$P$5:$P$168,$S21,'مواضع الظهور'!$G$5:$G$168,"حديثة",'مواضع الظهور'!$B$5:$B$168,"مفقود بلا مصدر")</x:f>
        <x:v>0</x:v>
      </x:c>
      <x:c r="G21" s="124" t="n">
        <x:f>SUM(E21:F21)</x:f>
        <x:v>1</x:v>
      </x:c>
      <x:c r="H21" s="62" t="str">
        <x:v>القراءات</x:v>
      </x:c>
      <x:c r="I21" s="62" t="str">
        <x:v>بكالوريوس</x:v>
      </x:c>
      <x:c r="J21" s="99" t="str">
        <x:v>قديمة 38</x:v>
      </x:c>
      <x:c r="K21" s="99" t="str">
        <x:v>2</x:v>
      </x:c>
      <x:c r="L21" s="99" t="str">
        <x:v>3</x:v>
      </x:c>
      <x:c r="M21" s="99" t="str">
        <x:v>إجبارية القسم</x:v>
      </x:c>
      <x:c r="N21" s="99" t="str"/>
      <x:c r="O21" s="99" t="str">
        <x:v>2001273-2.pdf</x:v>
      </x:c>
      <x:c r="P21" s="99" t="str">
        <x:v>غير متوفر</x:v>
      </x:c>
      <x:c r="Q21" s="99" t="str"/>
      <x:c r="R21" s="62" t="str"/>
      <x:c r="S21" s="122" t="str">
        <x:v>2001273-2||العقيدة (1)</x:v>
      </x:c>
    </x:row>
    <x:row r="22" ht="38" customHeight="1">
      <x:c r="A22" s="124" t="n">
        <x:v>18</x:v>
      </x:c>
      <x:c r="B22" s="99" t="str">
        <x:v>2001280-2</x:v>
      </x:c>
      <x:c r="C22" s="62" t="str">
        <x:v>أصول الدعوة والحسبة</x:v>
      </x:c>
      <x:c r="D22" s="99" t="str">
        <x:f>IF(AND(E22&gt;0,F22&gt;0),"مشتركة بين القديمة والحديثة",IF(E22&gt;0,"قديمة فقط","حديثة فقط"))</x:f>
        <x:v>قديمة فقط</x:v>
      </x:c>
      <x:c r="E22" s="124" t="n">
        <x:f>COUNTIFS('مواضع الظهور'!$P$5:$P$168,$S22,'مواضع الظهور'!$G$5:$G$168,"قديمة",'مواضع الظهور'!$B$5:$B$168,"مفقود بلا مصدر")</x:f>
        <x:v>2</x:v>
      </x:c>
      <x:c r="F22" s="124" t="n">
        <x:f>COUNTIFS('مواضع الظهور'!$P$5:$P$168,$S22,'مواضع الظهور'!$G$5:$G$168,"حديثة",'مواضع الظهور'!$B$5:$B$168,"مفقود بلا مصدر")</x:f>
        <x:v>0</x:v>
      </x:c>
      <x:c r="G22" s="124" t="n">
        <x:f>SUM(E22:F22)</x:f>
        <x:v>2</x:v>
      </x:c>
      <x:c r="H22" s="62" t="str">
        <x:v>الشريعة</x:v>
      </x:c>
      <x:c r="I22" s="62" t="str">
        <x:v>بكالوريوس</x:v>
      </x:c>
      <x:c r="J22" s="99" t="str">
        <x:v>قديمة 38؛ قديمة 39</x:v>
      </x:c>
      <x:c r="K22" s="99" t="str">
        <x:v>2</x:v>
      </x:c>
      <x:c r="L22" s="99" t="str">
        <x:v>6</x:v>
      </x:c>
      <x:c r="M22" s="99" t="str">
        <x:v>إجبارية القسم</x:v>
      </x:c>
      <x:c r="N22" s="99" t="str"/>
      <x:c r="O22" s="99" t="str">
        <x:v>2001280-2.pdf</x:v>
      </x:c>
      <x:c r="P22" s="99" t="str">
        <x:v>غير متوفر</x:v>
      </x:c>
      <x:c r="Q22" s="99" t="str"/>
      <x:c r="R22" s="62" t="str"/>
      <x:c r="S22" s="122" t="str">
        <x:v>2001280-2||أصول الدعوة والحسبة</x:v>
      </x:c>
    </x:row>
    <x:row r="23" ht="38" customHeight="1">
      <x:c r="A23" s="124" t="n">
        <x:v>19</x:v>
      </x:c>
      <x:c r="B23" s="99" t="str">
        <x:v>2001301-2</x:v>
      </x:c>
      <x:c r="C23" s="62" t="str">
        <x:v>تدوين السنة</x:v>
      </x:c>
      <x:c r="D23" s="99" t="str">
        <x:f>IF(AND(E23&gt;0,F23&gt;0),"مشتركة بين القديمة والحديثة",IF(E23&gt;0,"قديمة فقط","حديثة فقط"))</x:f>
        <x:v>قديمة فقط</x:v>
      </x:c>
      <x:c r="E23" s="124" t="n">
        <x:f>COUNTIFS('مواضع الظهور'!$P$5:$P$168,$S23,'مواضع الظهور'!$G$5:$G$168,"قديمة",'مواضع الظهور'!$B$5:$B$168,"مفقود بلا مصدر")</x:f>
        <x:v>2</x:v>
      </x:c>
      <x:c r="F23" s="124" t="n">
        <x:f>COUNTIFS('مواضع الظهور'!$P$5:$P$168,$S23,'مواضع الظهور'!$G$5:$G$168,"حديثة",'مواضع الظهور'!$B$5:$B$168,"مفقود بلا مصدر")</x:f>
        <x:v>0</x:v>
      </x:c>
      <x:c r="G23" s="124" t="n">
        <x:f>SUM(E23:F23)</x:f>
        <x:v>2</x:v>
      </x:c>
      <x:c r="H23" s="62" t="str">
        <x:v>الشريعة</x:v>
      </x:c>
      <x:c r="I23" s="62" t="str">
        <x:v>بكالوريوس</x:v>
      </x:c>
      <x:c r="J23" s="99" t="str">
        <x:v>قديمة 38؛ قديمة 39</x:v>
      </x:c>
      <x:c r="K23" s="99" t="str">
        <x:v>2</x:v>
      </x:c>
      <x:c r="L23" s="99" t="str">
        <x:v>6</x:v>
      </x:c>
      <x:c r="M23" s="99" t="str">
        <x:v>إجبارية القسم</x:v>
      </x:c>
      <x:c r="N23" s="99" t="str"/>
      <x:c r="O23" s="99" t="str">
        <x:v>2001301-2.pdf</x:v>
      </x:c>
      <x:c r="P23" s="99" t="str">
        <x:v>غير متوفر</x:v>
      </x:c>
      <x:c r="Q23" s="99" t="str"/>
      <x:c r="R23" s="62" t="str"/>
      <x:c r="S23" s="122" t="str">
        <x:v>2001301-2||تدوين السنة</x:v>
      </x:c>
    </x:row>
    <x:row r="24" ht="38" customHeight="1">
      <x:c r="A24" s="124" t="n">
        <x:v>20</x:v>
      </x:c>
      <x:c r="B24" s="99" t="str">
        <x:v>2001301-3</x:v>
      </x:c>
      <x:c r="C24" s="62" t="str">
        <x:v>الفقه (1)</x:v>
      </x:c>
      <x:c r="D24" s="99" t="str">
        <x:f>IF(AND(E24&gt;0,F24&gt;0),"مشتركة بين القديمة والحديثة",IF(E24&gt;0,"قديمة فقط","حديثة فقط"))</x:f>
        <x:v>حديثة فقط</x:v>
      </x:c>
      <x:c r="E24" s="124" t="n">
        <x:f>COUNTIFS('مواضع الظهور'!$P$5:$P$168,$S24,'مواضع الظهور'!$G$5:$G$168,"قديمة",'مواضع الظهور'!$B$5:$B$168,"مفقود بلا مصدر")</x:f>
        <x:v>0</x:v>
      </x:c>
      <x:c r="F24" s="124" t="n">
        <x:f>COUNTIFS('مواضع الظهور'!$P$5:$P$168,$S24,'مواضع الظهور'!$G$5:$G$168,"حديثة",'مواضع الظهور'!$B$5:$B$168,"مفقود بلا مصدر")</x:f>
        <x:v>1</x:v>
      </x:c>
      <x:c r="G24" s="124" t="n">
        <x:f>SUM(E24:F24)</x:f>
        <x:v>1</x:v>
      </x:c>
      <x:c r="H24" s="62" t="str">
        <x:v>الدراسات الإسلامية</x:v>
      </x:c>
      <x:c r="I24" s="62" t="str">
        <x:v>بكالوريوس</x:v>
      </x:c>
      <x:c r="J24" s="99" t="str">
        <x:v>حديثة 47</x:v>
      </x:c>
      <x:c r="K24" s="99" t="str">
        <x:v>3</x:v>
      </x:c>
      <x:c r="L24" s="99" t="str">
        <x:v>2</x:v>
      </x:c>
      <x:c r="M24" s="99" t="str">
        <x:v>إجبارية القسم</x:v>
      </x:c>
      <x:c r="N24" s="99" t="str"/>
      <x:c r="O24" s="99" t="str">
        <x:v>2001301-3.pdf</x:v>
      </x:c>
      <x:c r="P24" s="99" t="str">
        <x:v>غير متوفر</x:v>
      </x:c>
      <x:c r="Q24" s="99" t="str"/>
      <x:c r="R24" s="62" t="str"/>
      <x:c r="S24" s="122" t="str">
        <x:v>2001301-3||الفقه (1)</x:v>
      </x:c>
    </x:row>
    <x:row r="25" ht="38" customHeight="1">
      <x:c r="A25" s="124" t="n">
        <x:v>21</x:v>
      </x:c>
      <x:c r="B25" s="99" t="str">
        <x:v>2001302-3</x:v>
      </x:c>
      <x:c r="C25" s="62" t="str">
        <x:v>الفقه (٢)</x:v>
      </x:c>
      <x:c r="D25" s="99" t="str">
        <x:f>IF(AND(E25&gt;0,F25&gt;0),"مشتركة بين القديمة والحديثة",IF(E25&gt;0,"قديمة فقط","حديثة فقط"))</x:f>
        <x:v>حديثة فقط</x:v>
      </x:c>
      <x:c r="E25" s="124" t="n">
        <x:f>COUNTIFS('مواضع الظهور'!$P$5:$P$168,$S25,'مواضع الظهور'!$G$5:$G$168,"قديمة",'مواضع الظهور'!$B$5:$B$168,"مفقود بلا مصدر")</x:f>
        <x:v>0</x:v>
      </x:c>
      <x:c r="F25" s="124" t="n">
        <x:f>COUNTIFS('مواضع الظهور'!$P$5:$P$168,$S25,'مواضع الظهور'!$G$5:$G$168,"حديثة",'مواضع الظهور'!$B$5:$B$168,"مفقود بلا مصدر")</x:f>
        <x:v>1</x:v>
      </x:c>
      <x:c r="G25" s="124" t="n">
        <x:f>SUM(E25:F25)</x:f>
        <x:v>1</x:v>
      </x:c>
      <x:c r="H25" s="62" t="str">
        <x:v>الدراسات الإسلامية</x:v>
      </x:c>
      <x:c r="I25" s="62" t="str">
        <x:v>بكالوريوس</x:v>
      </x:c>
      <x:c r="J25" s="99" t="str">
        <x:v>حديثة 47</x:v>
      </x:c>
      <x:c r="K25" s="99" t="str">
        <x:v>3</x:v>
      </x:c>
      <x:c r="L25" s="99" t="str">
        <x:v>3</x:v>
      </x:c>
      <x:c r="M25" s="99" t="str">
        <x:v>إجبارية القسم</x:v>
      </x:c>
      <x:c r="N25" s="99" t="str"/>
      <x:c r="O25" s="99" t="str">
        <x:v>2001302-3.pdf</x:v>
      </x:c>
      <x:c r="P25" s="99" t="str">
        <x:v>غير متوفر</x:v>
      </x:c>
      <x:c r="Q25" s="99" t="str"/>
      <x:c r="R25" s="62" t="str"/>
      <x:c r="S25" s="122" t="str">
        <x:v>2001302-3||الفقه (٢)</x:v>
      </x:c>
    </x:row>
    <x:row r="26" ht="38" customHeight="1">
      <x:c r="A26" s="124" t="n">
        <x:v>22</x:v>
      </x:c>
      <x:c r="B26" s="99" t="str">
        <x:v>20013101-3</x:v>
      </x:c>
      <x:c r="C26" s="62" t="str">
        <x:v>الفقه (٤)</x:v>
      </x:c>
      <x:c r="D26" s="99" t="str">
        <x:f>IF(AND(E26&gt;0,F26&gt;0),"مشتركة بين القديمة والحديثة",IF(E26&gt;0,"قديمة فقط","حديثة فقط"))</x:f>
        <x:v>حديثة فقط</x:v>
      </x:c>
      <x:c r="E26" s="124" t="n">
        <x:f>COUNTIFS('مواضع الظهور'!$P$5:$P$168,$S26,'مواضع الظهور'!$G$5:$G$168,"قديمة",'مواضع الظهور'!$B$5:$B$168,"مفقود بلا مصدر")</x:f>
        <x:v>0</x:v>
      </x:c>
      <x:c r="F26" s="124" t="n">
        <x:f>COUNTIFS('مواضع الظهور'!$P$5:$P$168,$S26,'مواضع الظهور'!$G$5:$G$168,"حديثة",'مواضع الظهور'!$B$5:$B$168,"مفقود بلا مصدر")</x:f>
        <x:v>1</x:v>
      </x:c>
      <x:c r="G26" s="124" t="n">
        <x:f>SUM(E26:F26)</x:f>
        <x:v>1</x:v>
      </x:c>
      <x:c r="H26" s="62" t="str">
        <x:v>الدراسات الإسلامية</x:v>
      </x:c>
      <x:c r="I26" s="62" t="str">
        <x:v>بكالوريوس</x:v>
      </x:c>
      <x:c r="J26" s="99" t="str">
        <x:v>حديثة 47</x:v>
      </x:c>
      <x:c r="K26" s="99" t="str">
        <x:v>3</x:v>
      </x:c>
      <x:c r="L26" s="99" t="str">
        <x:v>5</x:v>
      </x:c>
      <x:c r="M26" s="99" t="str">
        <x:v>إجبارية القسم</x:v>
      </x:c>
      <x:c r="N26" s="99" t="str"/>
      <x:c r="O26" s="99" t="str">
        <x:v>20013101-3.pdf</x:v>
      </x:c>
      <x:c r="P26" s="99" t="str">
        <x:v>غير متوفر</x:v>
      </x:c>
      <x:c r="Q26" s="99" t="str"/>
      <x:c r="R26" s="62" t="str"/>
      <x:c r="S26" s="122" t="str">
        <x:v>20013101-3||الفقه (٤)</x:v>
      </x:c>
    </x:row>
    <x:row r="27" ht="38" customHeight="1">
      <x:c r="A27" s="124" t="n">
        <x:v>23</x:v>
      </x:c>
      <x:c r="B27" s="99" t="str">
        <x:v>2001317-2</x:v>
      </x:c>
      <x:c r="C27" s="62" t="str">
        <x:v>الفقه (3)</x:v>
      </x:c>
      <x:c r="D27" s="99" t="str">
        <x:f>IF(AND(E27&gt;0,F27&gt;0),"مشتركة بين القديمة والحديثة",IF(E27&gt;0,"قديمة فقط","حديثة فقط"))</x:f>
        <x:v>مشتركة بين القديمة والحديثة</x:v>
      </x:c>
      <x:c r="E27" s="124" t="n">
        <x:f>COUNTIFS('مواضع الظهور'!$P$5:$P$168,$S27,'مواضع الظهور'!$G$5:$G$168,"قديمة",'مواضع الظهور'!$B$5:$B$168,"مفقود بلا مصدر")</x:f>
        <x:v>1</x:v>
      </x:c>
      <x:c r="F27" s="124" t="n">
        <x:f>COUNTIFS('مواضع الظهور'!$P$5:$P$168,$S27,'مواضع الظهور'!$G$5:$G$168,"حديثة",'مواضع الظهور'!$B$5:$B$168,"مفقود بلا مصدر")</x:f>
        <x:v>1</x:v>
      </x:c>
      <x:c r="G27" s="124" t="n">
        <x:f>SUM(E27:F27)</x:f>
        <x:v>2</x:v>
      </x:c>
      <x:c r="H27" s="62" t="str">
        <x:v>القرآن وعلومه</x:v>
      </x:c>
      <x:c r="I27" s="62" t="str">
        <x:v>بكالوريوس</x:v>
      </x:c>
      <x:c r="J27" s="99" t="str">
        <x:v>حديثة 47؛ قديمة 39</x:v>
      </x:c>
      <x:c r="K27" s="99" t="str">
        <x:v>2</x:v>
      </x:c>
      <x:c r="L27" s="99" t="str">
        <x:v>5</x:v>
      </x:c>
      <x:c r="M27" s="99" t="str">
        <x:v>إجبارية القسم</x:v>
      </x:c>
      <x:c r="N27" s="99" t="str"/>
      <x:c r="O27" s="99" t="str">
        <x:v>2001317-2.pdf</x:v>
      </x:c>
      <x:c r="P27" s="99" t="str">
        <x:v>غير متوفر</x:v>
      </x:c>
      <x:c r="Q27" s="99" t="str"/>
      <x:c r="R27" s="62" t="str"/>
      <x:c r="S27" s="122" t="str">
        <x:v>2001317-2||الفقه (3)</x:v>
      </x:c>
    </x:row>
    <x:row r="28" ht="38" customHeight="1">
      <x:c r="A28" s="124" t="n">
        <x:v>24</x:v>
      </x:c>
      <x:c r="B28" s="99" t="str">
        <x:v>2001318-3</x:v>
      </x:c>
      <x:c r="C28" s="62" t="str">
        <x:v>فقه الجنايات</x:v>
      </x:c>
      <x:c r="D28" s="99" t="str">
        <x:f>IF(AND(E28&gt;0,F28&gt;0),"مشتركة بين القديمة والحديثة",IF(E28&gt;0,"قديمة فقط","حديثة فقط"))</x:f>
        <x:v>قديمة فقط</x:v>
      </x:c>
      <x:c r="E28" s="124" t="n">
        <x:f>COUNTIFS('مواضع الظهور'!$P$5:$P$168,$S28,'مواضع الظهور'!$G$5:$G$168,"قديمة",'مواضع الظهور'!$B$5:$B$168,"مفقود بلا مصدر")</x:f>
        <x:v>1</x:v>
      </x:c>
      <x:c r="F28" s="124" t="n">
        <x:f>COUNTIFS('مواضع الظهور'!$P$5:$P$168,$S28,'مواضع الظهور'!$G$5:$G$168,"حديثة",'مواضع الظهور'!$B$5:$B$168,"مفقود بلا مصدر")</x:f>
        <x:v>0</x:v>
      </x:c>
      <x:c r="G28" s="124" t="n">
        <x:f>SUM(E28:F28)</x:f>
        <x:v>1</x:v>
      </x:c>
      <x:c r="H28" s="62" t="str">
        <x:v>الأنظمة</x:v>
      </x:c>
      <x:c r="I28" s="62" t="str">
        <x:v>بكالوريوس</x:v>
      </x:c>
      <x:c r="J28" s="99" t="str">
        <x:v>قديمة 38</x:v>
      </x:c>
      <x:c r="K28" s="99" t="str">
        <x:v>3</x:v>
      </x:c>
      <x:c r="L28" s="99" t="str">
        <x:v>5</x:v>
      </x:c>
      <x:c r="M28" s="99" t="str">
        <x:v>إجبارية القسم</x:v>
      </x:c>
      <x:c r="N28" s="99" t="str"/>
      <x:c r="O28" s="99" t="str">
        <x:v>2001318-3.pdf</x:v>
      </x:c>
      <x:c r="P28" s="99" t="str">
        <x:v>غير متوفر</x:v>
      </x:c>
      <x:c r="Q28" s="99" t="str"/>
      <x:c r="R28" s="62" t="str"/>
      <x:c r="S28" s="122" t="str">
        <x:v>2001318-3||فقه الجنايات</x:v>
      </x:c>
    </x:row>
    <x:row r="29" ht="38" customHeight="1">
      <x:c r="A29" s="124" t="n">
        <x:v>25</x:v>
      </x:c>
      <x:c r="B29" s="99" t="str">
        <x:v>2001320-2</x:v>
      </x:c>
      <x:c r="C29" s="62" t="str">
        <x:v>الحديث (3)</x:v>
      </x:c>
      <x:c r="D29" s="99" t="str">
        <x:f>IF(AND(E29&gt;0,F29&gt;0),"مشتركة بين القديمة والحديثة",IF(E29&gt;0,"قديمة فقط","حديثة فقط"))</x:f>
        <x:v>قديمة فقط</x:v>
      </x:c>
      <x:c r="E29" s="124" t="n">
        <x:f>COUNTIFS('مواضع الظهور'!$P$5:$P$168,$S29,'مواضع الظهور'!$G$5:$G$168,"قديمة",'مواضع الظهور'!$B$5:$B$168,"مفقود بلا مصدر")</x:f>
        <x:v>2</x:v>
      </x:c>
      <x:c r="F29" s="124" t="n">
        <x:f>COUNTIFS('مواضع الظهور'!$P$5:$P$168,$S29,'مواضع الظهور'!$G$5:$G$168,"حديثة",'مواضع الظهور'!$B$5:$B$168,"مفقود بلا مصدر")</x:f>
        <x:v>0</x:v>
      </x:c>
      <x:c r="G29" s="124" t="n">
        <x:f>SUM(E29:F29)</x:f>
        <x:v>2</x:v>
      </x:c>
      <x:c r="H29" s="62" t="str">
        <x:v>القرآن وعلومه؛ القراءات</x:v>
      </x:c>
      <x:c r="I29" s="62" t="str">
        <x:v>بكالوريوس</x:v>
      </x:c>
      <x:c r="J29" s="99" t="str">
        <x:v>قديمة 39؛ قديمة 38</x:v>
      </x:c>
      <x:c r="K29" s="99" t="str">
        <x:v>2</x:v>
      </x:c>
      <x:c r="L29" s="99" t="str">
        <x:v>6</x:v>
      </x:c>
      <x:c r="M29" s="99" t="str">
        <x:v>إجبارية القسم</x:v>
      </x:c>
      <x:c r="N29" s="99" t="str"/>
      <x:c r="O29" s="99" t="str">
        <x:v>2001320-2.pdf</x:v>
      </x:c>
      <x:c r="P29" s="99" t="str">
        <x:v>غير متوفر</x:v>
      </x:c>
      <x:c r="Q29" s="99" t="str"/>
      <x:c r="R29" s="62" t="str"/>
      <x:c r="S29" s="122" t="str">
        <x:v>2001320-2||الحديث (3)</x:v>
      </x:c>
    </x:row>
    <x:row r="30" ht="38" customHeight="1">
      <x:c r="A30" s="124" t="n">
        <x:v>26</x:v>
      </x:c>
      <x:c r="B30" s="99" t="str">
        <x:v>20013201-4</x:v>
      </x:c>
      <x:c r="C30" s="62" t="str">
        <x:v>الفقه (٥)</x:v>
      </x:c>
      <x:c r="D30" s="99" t="str">
        <x:f>IF(AND(E30&gt;0,F30&gt;0),"مشتركة بين القديمة والحديثة",IF(E30&gt;0,"قديمة فقط","حديثة فقط"))</x:f>
        <x:v>حديثة فقط</x:v>
      </x:c>
      <x:c r="E30" s="124" t="n">
        <x:f>COUNTIFS('مواضع الظهور'!$P$5:$P$168,$S30,'مواضع الظهور'!$G$5:$G$168,"قديمة",'مواضع الظهور'!$B$5:$B$168,"مفقود بلا مصدر")</x:f>
        <x:v>0</x:v>
      </x:c>
      <x:c r="F30" s="124" t="n">
        <x:f>COUNTIFS('مواضع الظهور'!$P$5:$P$168,$S30,'مواضع الظهور'!$G$5:$G$168,"حديثة",'مواضع الظهور'!$B$5:$B$168,"مفقود بلا مصدر")</x:f>
        <x:v>1</x:v>
      </x:c>
      <x:c r="G30" s="124" t="n">
        <x:f>SUM(E30:F30)</x:f>
        <x:v>1</x:v>
      </x:c>
      <x:c r="H30" s="62" t="str">
        <x:v>الدراسات الإسلامية</x:v>
      </x:c>
      <x:c r="I30" s="62" t="str">
        <x:v>بكالوريوس</x:v>
      </x:c>
      <x:c r="J30" s="99" t="str">
        <x:v>حديثة 47</x:v>
      </x:c>
      <x:c r="K30" s="99" t="str">
        <x:v>4</x:v>
      </x:c>
      <x:c r="L30" s="99" t="str">
        <x:v>6</x:v>
      </x:c>
      <x:c r="M30" s="99" t="str">
        <x:v>إجبارية القسم</x:v>
      </x:c>
      <x:c r="N30" s="99" t="str"/>
      <x:c r="O30" s="99" t="str">
        <x:v>20013201-4.pdf</x:v>
      </x:c>
      <x:c r="P30" s="99" t="str">
        <x:v>غير متوفر</x:v>
      </x:c>
      <x:c r="Q30" s="99" t="str"/>
      <x:c r="R30" s="62" t="str"/>
      <x:c r="S30" s="122" t="str">
        <x:v>20013201-4||الفقه (٥)</x:v>
      </x:c>
    </x:row>
    <x:row r="31" ht="38" customHeight="1">
      <x:c r="A31" s="124" t="n">
        <x:v>27</x:v>
      </x:c>
      <x:c r="B31" s="99" t="str">
        <x:v>2001322-2</x:v>
      </x:c>
      <x:c r="C31" s="62" t="str">
        <x:v>الفقه (2)</x:v>
      </x:c>
      <x:c r="D31" s="99" t="str">
        <x:f>IF(AND(E31&gt;0,F31&gt;0),"مشتركة بين القديمة والحديثة",IF(E31&gt;0,"قديمة فقط","حديثة فقط"))</x:f>
        <x:v>مشتركة بين القديمة والحديثة</x:v>
      </x:c>
      <x:c r="E31" s="124" t="n">
        <x:f>COUNTIFS('مواضع الظهور'!$P$5:$P$168,$S31,'مواضع الظهور'!$G$5:$G$168,"قديمة",'مواضع الظهور'!$B$5:$B$168,"مفقود بلا مصدر")</x:f>
        <x:v>2</x:v>
      </x:c>
      <x:c r="F31" s="124" t="n">
        <x:f>COUNTIFS('مواضع الظهور'!$P$5:$P$168,$S31,'مواضع الظهور'!$G$5:$G$168,"حديثة",'مواضع الظهور'!$B$5:$B$168,"مفقود بلا مصدر")</x:f>
        <x:v>1</x:v>
      </x:c>
      <x:c r="G31" s="124" t="n">
        <x:f>SUM(E31:F31)</x:f>
        <x:v>3</x:v>
      </x:c>
      <x:c r="H31" s="62" t="str">
        <x:v>القرآن وعلومه؛ القراءات</x:v>
      </x:c>
      <x:c r="I31" s="62" t="str">
        <x:v>بكالوريوس</x:v>
      </x:c>
      <x:c r="J31" s="99" t="str">
        <x:v>حديثة 47؛ قديمة 39؛ قديمة 38</x:v>
      </x:c>
      <x:c r="K31" s="99" t="str">
        <x:v>2</x:v>
      </x:c>
      <x:c r="L31" s="99" t="str">
        <x:v>4</x:v>
      </x:c>
      <x:c r="M31" s="99" t="str">
        <x:v>إجبارية القسم</x:v>
      </x:c>
      <x:c r="N31" s="99" t="str"/>
      <x:c r="O31" s="99" t="str">
        <x:v>2001322-2.pdf</x:v>
      </x:c>
      <x:c r="P31" s="99" t="str">
        <x:v>غير متوفر</x:v>
      </x:c>
      <x:c r="Q31" s="99" t="str"/>
      <x:c r="R31" s="62" t="str"/>
      <x:c r="S31" s="122" t="str">
        <x:v>2001322-2||الفقه (2)</x:v>
      </x:c>
    </x:row>
    <x:row r="32" ht="38" customHeight="1">
      <x:c r="A32" s="124" t="n">
        <x:v>28</x:v>
      </x:c>
      <x:c r="B32" s="99" t="str">
        <x:v>2001327-3</x:v>
      </x:c>
      <x:c r="C32" s="62" t="str">
        <x:v>فقه الأحوال الشخصية</x:v>
      </x:c>
      <x:c r="D32" s="99" t="str">
        <x:f>IF(AND(E32&gt;0,F32&gt;0),"مشتركة بين القديمة والحديثة",IF(E32&gt;0,"قديمة فقط","حديثة فقط"))</x:f>
        <x:v>قديمة فقط</x:v>
      </x:c>
      <x:c r="E32" s="124" t="n">
        <x:f>COUNTIFS('مواضع الظهور'!$P$5:$P$168,$S32,'مواضع الظهور'!$G$5:$G$168,"قديمة",'مواضع الظهور'!$B$5:$B$168,"مفقود بلا مصدر")</x:f>
        <x:v>1</x:v>
      </x:c>
      <x:c r="F32" s="124" t="n">
        <x:f>COUNTIFS('مواضع الظهور'!$P$5:$P$168,$S32,'مواضع الظهور'!$G$5:$G$168,"حديثة",'مواضع الظهور'!$B$5:$B$168,"مفقود بلا مصدر")</x:f>
        <x:v>0</x:v>
      </x:c>
      <x:c r="G32" s="124" t="n">
        <x:f>SUM(E32:F32)</x:f>
        <x:v>1</x:v>
      </x:c>
      <x:c r="H32" s="62" t="str">
        <x:v>الأنظمة</x:v>
      </x:c>
      <x:c r="I32" s="62" t="str">
        <x:v>بكالوريوس</x:v>
      </x:c>
      <x:c r="J32" s="99" t="str">
        <x:v>قديمة 38</x:v>
      </x:c>
      <x:c r="K32" s="99" t="str">
        <x:v>3</x:v>
      </x:c>
      <x:c r="L32" s="99" t="str">
        <x:v>5</x:v>
      </x:c>
      <x:c r="M32" s="99" t="str">
        <x:v>إجبارية القسم</x:v>
      </x:c>
      <x:c r="N32" s="99" t="str"/>
      <x:c r="O32" s="99" t="str">
        <x:v>2001327-3.pdf</x:v>
      </x:c>
      <x:c r="P32" s="99" t="str">
        <x:v>غير متوفر</x:v>
      </x:c>
      <x:c r="Q32" s="99" t="str"/>
      <x:c r="R32" s="62" t="str"/>
      <x:c r="S32" s="122" t="str">
        <x:v>2001327-3||فقه الأحوال الشخصية</x:v>
      </x:c>
    </x:row>
    <x:row r="33" ht="38" customHeight="1">
      <x:c r="A33" s="124" t="n">
        <x:v>29</x:v>
      </x:c>
      <x:c r="B33" s="99" t="str">
        <x:v>2001328-2</x:v>
      </x:c>
      <x:c r="C33" s="62" t="str">
        <x:v>القواعد الفقهية</x:v>
      </x:c>
      <x:c r="D33" s="99" t="str">
        <x:f>IF(AND(E33&gt;0,F33&gt;0),"مشتركة بين القديمة والحديثة",IF(E33&gt;0,"قديمة فقط","حديثة فقط"))</x:f>
        <x:v>قديمة فقط</x:v>
      </x:c>
      <x:c r="E33" s="124" t="n">
        <x:f>COUNTIFS('مواضع الظهور'!$P$5:$P$168,$S33,'مواضع الظهور'!$G$5:$G$168,"قديمة",'مواضع الظهور'!$B$5:$B$168,"مفقود بلا مصدر")</x:f>
        <x:v>1</x:v>
      </x:c>
      <x:c r="F33" s="124" t="n">
        <x:f>COUNTIFS('مواضع الظهور'!$P$5:$P$168,$S33,'مواضع الظهور'!$G$5:$G$168,"حديثة",'مواضع الظهور'!$B$5:$B$168,"مفقود بلا مصدر")</x:f>
        <x:v>0</x:v>
      </x:c>
      <x:c r="G33" s="124" t="n">
        <x:f>SUM(E33:F33)</x:f>
        <x:v>1</x:v>
      </x:c>
      <x:c r="H33" s="62" t="str">
        <x:v>الأنظمة</x:v>
      </x:c>
      <x:c r="I33" s="62" t="str">
        <x:v>بكالوريوس</x:v>
      </x:c>
      <x:c r="J33" s="99" t="str">
        <x:v>قديمة 38</x:v>
      </x:c>
      <x:c r="K33" s="99" t="str">
        <x:v>2</x:v>
      </x:c>
      <x:c r="L33" s="99" t="str">
        <x:v>3</x:v>
      </x:c>
      <x:c r="M33" s="99" t="str">
        <x:v>إجبارية القسم</x:v>
      </x:c>
      <x:c r="N33" s="99" t="str"/>
      <x:c r="O33" s="99" t="str">
        <x:v>2001328-2.pdf</x:v>
      </x:c>
      <x:c r="P33" s="99" t="str">
        <x:v>غير متوفر</x:v>
      </x:c>
      <x:c r="Q33" s="99" t="str"/>
      <x:c r="R33" s="62" t="str"/>
      <x:c r="S33" s="122" t="str">
        <x:v>2001328-2||القواعد الفقهية</x:v>
      </x:c>
    </x:row>
    <x:row r="34" ht="38" customHeight="1">
      <x:c r="A34" s="124" t="n">
        <x:v>30</x:v>
      </x:c>
      <x:c r="B34" s="99" t="str">
        <x:v>2001330-2</x:v>
      </x:c>
      <x:c r="C34" s="62" t="str">
        <x:v>أصول الفقه (2)</x:v>
      </x:c>
      <x:c r="D34" s="99" t="str">
        <x:f>IF(AND(E34&gt;0,F34&gt;0),"مشتركة بين القديمة والحديثة",IF(E34&gt;0,"قديمة فقط","حديثة فقط"))</x:f>
        <x:v>مشتركة بين القديمة والحديثة</x:v>
      </x:c>
      <x:c r="E34" s="124" t="n">
        <x:f>COUNTIFS('مواضع الظهور'!$P$5:$P$168,$S34,'مواضع الظهور'!$G$5:$G$168,"قديمة",'مواضع الظهور'!$B$5:$B$168,"مفقود بلا مصدر")</x:f>
        <x:v>2</x:v>
      </x:c>
      <x:c r="F34" s="124" t="n">
        <x:f>COUNTIFS('مواضع الظهور'!$P$5:$P$168,$S34,'مواضع الظهور'!$G$5:$G$168,"حديثة",'مواضع الظهور'!$B$5:$B$168,"مفقود بلا مصدر")</x:f>
        <x:v>1</x:v>
      </x:c>
      <x:c r="G34" s="124" t="n">
        <x:f>SUM(E34:F34)</x:f>
        <x:v>3</x:v>
      </x:c>
      <x:c r="H34" s="62" t="str">
        <x:v>الأنظمة؛ القرآن وعلومه</x:v>
      </x:c>
      <x:c r="I34" s="62" t="str">
        <x:v>بكالوريوس</x:v>
      </x:c>
      <x:c r="J34" s="99" t="str">
        <x:v>قديمة 38؛ حديثة 47؛ قديمة 39</x:v>
      </x:c>
      <x:c r="K34" s="99" t="str">
        <x:v>2</x:v>
      </x:c>
      <x:c r="L34" s="99" t="str">
        <x:v>3؛ 6</x:v>
      </x:c>
      <x:c r="M34" s="99" t="str">
        <x:v>إجبارية القسم</x:v>
      </x:c>
      <x:c r="N34" s="99" t="str"/>
      <x:c r="O34" s="99" t="str">
        <x:v>2001330-2.pdf</x:v>
      </x:c>
      <x:c r="P34" s="99" t="str">
        <x:v>غير متوفر</x:v>
      </x:c>
      <x:c r="Q34" s="99" t="str"/>
      <x:c r="R34" s="62" t="str"/>
      <x:c r="S34" s="122" t="str">
        <x:v>2001330-2||أصول الفقه (2)</x:v>
      </x:c>
    </x:row>
    <x:row r="35" ht="38" customHeight="1">
      <x:c r="A35" s="124" t="n">
        <x:v>31</x:v>
      </x:c>
      <x:c r="B35" s="99" t="str">
        <x:v>2001332-2</x:v>
      </x:c>
      <x:c r="C35" s="62" t="str">
        <x:v>أحاديث الأحكام (2)</x:v>
      </x:c>
      <x:c r="D35" s="99" t="str">
        <x:f>IF(AND(E35&gt;0,F35&gt;0),"مشتركة بين القديمة والحديثة",IF(E35&gt;0,"قديمة فقط","حديثة فقط"))</x:f>
        <x:v>قديمة فقط</x:v>
      </x:c>
      <x:c r="E35" s="124" t="n">
        <x:f>COUNTIFS('مواضع الظهور'!$P$5:$P$168,$S35,'مواضع الظهور'!$G$5:$G$168,"قديمة",'مواضع الظهور'!$B$5:$B$168,"مفقود بلا مصدر")</x:f>
        <x:v>2</x:v>
      </x:c>
      <x:c r="F35" s="124" t="n">
        <x:f>COUNTIFS('مواضع الظهور'!$P$5:$P$168,$S35,'مواضع الظهور'!$G$5:$G$168,"حديثة",'مواضع الظهور'!$B$5:$B$168,"مفقود بلا مصدر")</x:f>
        <x:v>0</x:v>
      </x:c>
      <x:c r="G35" s="124" t="n">
        <x:f>SUM(E35:F35)</x:f>
        <x:v>2</x:v>
      </x:c>
      <x:c r="H35" s="62" t="str">
        <x:v>الشريعة</x:v>
      </x:c>
      <x:c r="I35" s="62" t="str">
        <x:v>بكالوريوس</x:v>
      </x:c>
      <x:c r="J35" s="99" t="str">
        <x:v>قديمة 38؛ قديمة 39</x:v>
      </x:c>
      <x:c r="K35" s="99" t="str">
        <x:v>2</x:v>
      </x:c>
      <x:c r="L35" s="99" t="str">
        <x:v>4</x:v>
      </x:c>
      <x:c r="M35" s="99" t="str">
        <x:v>إجبارية القسم</x:v>
      </x:c>
      <x:c r="N35" s="99" t="str"/>
      <x:c r="O35" s="99" t="str">
        <x:v>2001332-2.pdf</x:v>
      </x:c>
      <x:c r="P35" s="99" t="str">
        <x:v>غير متوفر</x:v>
      </x:c>
      <x:c r="Q35" s="99" t="str"/>
      <x:c r="R35" s="62" t="str"/>
      <x:c r="S35" s="122" t="str">
        <x:v>2001332-2||أحاديث الأحكام (2)</x:v>
      </x:c>
    </x:row>
    <x:row r="36" ht="38" customHeight="1">
      <x:c r="A36" s="124" t="n">
        <x:v>32</x:v>
      </x:c>
      <x:c r="B36" s="99" t="str">
        <x:v>2001401-2</x:v>
      </x:c>
      <x:c r="C36" s="62" t="str">
        <x:v>المواريث والوصايا</x:v>
      </x:c>
      <x:c r="D36" s="99" t="str">
        <x:f>IF(AND(E36&gt;0,F36&gt;0),"مشتركة بين القديمة والحديثة",IF(E36&gt;0,"قديمة فقط","حديثة فقط"))</x:f>
        <x:v>قديمة فقط</x:v>
      </x:c>
      <x:c r="E36" s="124" t="n">
        <x:f>COUNTIFS('مواضع الظهور'!$P$5:$P$168,$S36,'مواضع الظهور'!$G$5:$G$168,"قديمة",'مواضع الظهور'!$B$5:$B$168,"مفقود بلا مصدر")</x:f>
        <x:v>1</x:v>
      </x:c>
      <x:c r="F36" s="124" t="n">
        <x:f>COUNTIFS('مواضع الظهور'!$P$5:$P$168,$S36,'مواضع الظهور'!$G$5:$G$168,"حديثة",'مواضع الظهور'!$B$5:$B$168,"مفقود بلا مصدر")</x:f>
        <x:v>0</x:v>
      </x:c>
      <x:c r="G36" s="124" t="n">
        <x:f>SUM(E36:F36)</x:f>
        <x:v>1</x:v>
      </x:c>
      <x:c r="H36" s="62" t="str">
        <x:v>الأنظمة</x:v>
      </x:c>
      <x:c r="I36" s="62" t="str">
        <x:v>بكالوريوس</x:v>
      </x:c>
      <x:c r="J36" s="99" t="str">
        <x:v>قديمة 38</x:v>
      </x:c>
      <x:c r="K36" s="99" t="str">
        <x:v>2</x:v>
      </x:c>
      <x:c r="L36" s="99" t="str">
        <x:v>7</x:v>
      </x:c>
      <x:c r="M36" s="99" t="str">
        <x:v>إجبارية القسم</x:v>
      </x:c>
      <x:c r="N36" s="99" t="str"/>
      <x:c r="O36" s="99" t="str">
        <x:v>2001401-2.pdf</x:v>
      </x:c>
      <x:c r="P36" s="99" t="str">
        <x:v>غير متوفر</x:v>
      </x:c>
      <x:c r="Q36" s="99" t="str"/>
      <x:c r="R36" s="62" t="str"/>
      <x:c r="S36" s="122" t="str">
        <x:v>2001401-2||المواريث والوصايا</x:v>
      </x:c>
    </x:row>
    <x:row r="37" ht="38" customHeight="1">
      <x:c r="A37" s="124" t="n">
        <x:v>33</x:v>
      </x:c>
      <x:c r="B37" s="99" t="str">
        <x:v>2001424-2</x:v>
      </x:c>
      <x:c r="C37" s="62" t="str">
        <x:v>الفقه (4)</x:v>
      </x:c>
      <x:c r="D37" s="99" t="str">
        <x:f>IF(AND(E37&gt;0,F37&gt;0),"مشتركة بين القديمة والحديثة",IF(E37&gt;0,"قديمة فقط","حديثة فقط"))</x:f>
        <x:v>قديمة فقط</x:v>
      </x:c>
      <x:c r="E37" s="124" t="n">
        <x:f>COUNTIFS('مواضع الظهور'!$P$5:$P$168,$S37,'مواضع الظهور'!$G$5:$G$168,"قديمة",'مواضع الظهور'!$B$5:$B$168,"مفقود بلا مصدر")</x:f>
        <x:v>1</x:v>
      </x:c>
      <x:c r="F37" s="124" t="n">
        <x:f>COUNTIFS('مواضع الظهور'!$P$5:$P$168,$S37,'مواضع الظهور'!$G$5:$G$168,"حديثة",'مواضع الظهور'!$B$5:$B$168,"مفقود بلا مصدر")</x:f>
        <x:v>0</x:v>
      </x:c>
      <x:c r="G37" s="124" t="n">
        <x:f>SUM(E37:F37)</x:f>
        <x:v>1</x:v>
      </x:c>
      <x:c r="H37" s="62" t="str">
        <x:v>القرآن وعلومه</x:v>
      </x:c>
      <x:c r="I37" s="62" t="str">
        <x:v>بكالوريوس</x:v>
      </x:c>
      <x:c r="J37" s="99" t="str">
        <x:v>قديمة 39</x:v>
      </x:c>
      <x:c r="K37" s="99" t="str">
        <x:v>2</x:v>
      </x:c>
      <x:c r="L37" s="99" t="str">
        <x:v>8</x:v>
      </x:c>
      <x:c r="M37" s="99" t="str">
        <x:v>إجبارية القسم</x:v>
      </x:c>
      <x:c r="N37" s="99" t="str"/>
      <x:c r="O37" s="99" t="str">
        <x:v>2001424-2.pdf</x:v>
      </x:c>
      <x:c r="P37" s="99" t="str">
        <x:v>غير متوفر</x:v>
      </x:c>
      <x:c r="Q37" s="99" t="str"/>
      <x:c r="R37" s="62" t="str"/>
      <x:c r="S37" s="122" t="str">
        <x:v>2001424-2||الفقه (4)</x:v>
      </x:c>
    </x:row>
    <x:row r="38" ht="38" customHeight="1">
      <x:c r="A38" s="124" t="n">
        <x:v>34</x:v>
      </x:c>
      <x:c r="B38" s="99" t="str">
        <x:v>2001493-2</x:v>
      </x:c>
      <x:c r="C38" s="62" t="str">
        <x:v>تخريج ودراسة الأسانيد</x:v>
      </x:c>
      <x:c r="D38" s="99" t="str">
        <x:f>IF(AND(E38&gt;0,F38&gt;0),"مشتركة بين القديمة والحديثة",IF(E38&gt;0,"قديمة فقط","حديثة فقط"))</x:f>
        <x:v>قديمة فقط</x:v>
      </x:c>
      <x:c r="E38" s="124" t="n">
        <x:f>COUNTIFS('مواضع الظهور'!$P$5:$P$168,$S38,'مواضع الظهور'!$G$5:$G$168,"قديمة",'مواضع الظهور'!$B$5:$B$168,"مفقود بلا مصدر")</x:f>
        <x:v>2</x:v>
      </x:c>
      <x:c r="F38" s="124" t="n">
        <x:f>COUNTIFS('مواضع الظهور'!$P$5:$P$168,$S38,'مواضع الظهور'!$G$5:$G$168,"حديثة",'مواضع الظهور'!$B$5:$B$168,"مفقود بلا مصدر")</x:f>
        <x:v>0</x:v>
      </x:c>
      <x:c r="G38" s="124" t="n">
        <x:f>SUM(E38:F38)</x:f>
        <x:v>2</x:v>
      </x:c>
      <x:c r="H38" s="62" t="str">
        <x:v>الشريعة</x:v>
      </x:c>
      <x:c r="I38" s="62" t="str">
        <x:v>بكالوريوس</x:v>
      </x:c>
      <x:c r="J38" s="99" t="str">
        <x:v>قديمة 38؛ قديمة 39</x:v>
      </x:c>
      <x:c r="K38" s="99" t="str">
        <x:v>2</x:v>
      </x:c>
      <x:c r="L38" s="99" t="str">
        <x:v>7</x:v>
      </x:c>
      <x:c r="M38" s="99" t="str">
        <x:v>إجبارية القسم</x:v>
      </x:c>
      <x:c r="N38" s="99" t="str"/>
      <x:c r="O38" s="99" t="str">
        <x:v>2001493-2.pdf</x:v>
      </x:c>
      <x:c r="P38" s="99" t="str">
        <x:v>غير متوفر</x:v>
      </x:c>
      <x:c r="Q38" s="99" t="str"/>
      <x:c r="R38" s="62" t="str"/>
      <x:c r="S38" s="122" t="str">
        <x:v>2001493-2||تخريج ودراسة الأسانيد</x:v>
      </x:c>
    </x:row>
    <x:row r="39" ht="38" customHeight="1">
      <x:c r="A39" s="124" t="n">
        <x:v>35</x:v>
      </x:c>
      <x:c r="B39" s="99" t="str">
        <x:v>2001901-2</x:v>
      </x:c>
      <x:c r="C39" s="62" t="str">
        <x:v>دراسات مقاصدية</x:v>
      </x:c>
      <x:c r="D39" s="99" t="str">
        <x:f>IF(AND(E39&gt;0,F39&gt;0),"مشتركة بين القديمة والحديثة",IF(E39&gt;0,"قديمة فقط","حديثة فقط"))</x:f>
        <x:v>حديثة فقط</x:v>
      </x:c>
      <x:c r="E39" s="124" t="n">
        <x:f>COUNTIFS('مواضع الظهور'!$P$5:$P$168,$S39,'مواضع الظهور'!$G$5:$G$168,"قديمة",'مواضع الظهور'!$B$5:$B$168,"مفقود بلا مصدر")</x:f>
        <x:v>0</x:v>
      </x:c>
      <x:c r="F39" s="124" t="n">
        <x:f>COUNTIFS('مواضع الظهور'!$P$5:$P$168,$S39,'مواضع الظهور'!$G$5:$G$168,"حديثة",'مواضع الظهور'!$B$5:$B$168,"مفقود بلا مصدر")</x:f>
        <x:v>1</x:v>
      </x:c>
      <x:c r="G39" s="124" t="n">
        <x:f>SUM(E39:F39)</x:f>
        <x:v>1</x:v>
      </x:c>
      <x:c r="H39" s="62" t="str">
        <x:v>أصول الفقه</x:v>
      </x:c>
      <x:c r="I39" s="62" t="str">
        <x:v>دكتوراه</x:v>
      </x:c>
      <x:c r="J39" s="99" t="str">
        <x:v>حديثة 1</x:v>
      </x:c>
      <x:c r="K39" s="99" t="str">
        <x:v>2</x:v>
      </x:c>
      <x:c r="L39" s="99" t="str">
        <x:v>1</x:v>
      </x:c>
      <x:c r="M39" s="99" t="str">
        <x:v>إجبارية القسم</x:v>
      </x:c>
      <x:c r="N39" s="99" t="str"/>
      <x:c r="O39" s="99" t="str">
        <x:v>2001901-2.pdf</x:v>
      </x:c>
      <x:c r="P39" s="99" t="str">
        <x:v>غير متوفر</x:v>
      </x:c>
      <x:c r="Q39" s="99" t="str"/>
      <x:c r="R39" s="62" t="str"/>
      <x:c r="S39" s="122" t="str">
        <x:v>2001901-2||دراسات مقاصدية</x:v>
      </x:c>
    </x:row>
    <x:row r="40" ht="38" customHeight="1">
      <x:c r="A40" s="124" t="n">
        <x:v>36</x:v>
      </x:c>
      <x:c r="B40" s="99" t="str">
        <x:v>2001902-3</x:v>
      </x:c>
      <x:c r="C40" s="62" t="str">
        <x:v>دراسة تحليلية أصولية</x:v>
      </x:c>
      <x:c r="D40" s="99" t="str">
        <x:f>IF(AND(E40&gt;0,F40&gt;0),"مشتركة بين القديمة والحديثة",IF(E40&gt;0,"قديمة فقط","حديثة فقط"))</x:f>
        <x:v>حديثة فقط</x:v>
      </x:c>
      <x:c r="E40" s="124" t="n">
        <x:f>COUNTIFS('مواضع الظهور'!$P$5:$P$168,$S40,'مواضع الظهور'!$G$5:$G$168,"قديمة",'مواضع الظهور'!$B$5:$B$168,"مفقود بلا مصدر")</x:f>
        <x:v>0</x:v>
      </x:c>
      <x:c r="F40" s="124" t="n">
        <x:f>COUNTIFS('مواضع الظهور'!$P$5:$P$168,$S40,'مواضع الظهور'!$G$5:$G$168,"حديثة",'مواضع الظهور'!$B$5:$B$168,"مفقود بلا مصدر")</x:f>
        <x:v>1</x:v>
      </x:c>
      <x:c r="G40" s="124" t="n">
        <x:f>SUM(E40:F40)</x:f>
        <x:v>1</x:v>
      </x:c>
      <x:c r="H40" s="62" t="str">
        <x:v>أصول الفقه</x:v>
      </x:c>
      <x:c r="I40" s="62" t="str">
        <x:v>دكتوراه</x:v>
      </x:c>
      <x:c r="J40" s="99" t="str">
        <x:v>حديثة 1</x:v>
      </x:c>
      <x:c r="K40" s="99" t="str">
        <x:v>3</x:v>
      </x:c>
      <x:c r="L40" s="99" t="str">
        <x:v>1</x:v>
      </x:c>
      <x:c r="M40" s="99" t="str">
        <x:v>إجبارية القسم</x:v>
      </x:c>
      <x:c r="N40" s="99" t="str"/>
      <x:c r="O40" s="99" t="str">
        <x:v>2001902-3.pdf</x:v>
      </x:c>
      <x:c r="P40" s="99" t="str">
        <x:v>غير متوفر</x:v>
      </x:c>
      <x:c r="Q40" s="99" t="str"/>
      <x:c r="R40" s="62" t="str"/>
      <x:c r="S40" s="122" t="str">
        <x:v>2001902-3||دراسة تحليلية أصولية</x:v>
      </x:c>
    </x:row>
    <x:row r="41" ht="38" customHeight="1">
      <x:c r="A41" s="124" t="n">
        <x:v>37</x:v>
      </x:c>
      <x:c r="B41" s="99" t="str">
        <x:v>2001903-4</x:v>
      </x:c>
      <x:c r="C41" s="62" t="str">
        <x:v>الاجتهاد الاستدلالي والفتوى</x:v>
      </x:c>
      <x:c r="D41" s="99" t="str">
        <x:f>IF(AND(E41&gt;0,F41&gt;0),"مشتركة بين القديمة والحديثة",IF(E41&gt;0,"قديمة فقط","حديثة فقط"))</x:f>
        <x:v>حديثة فقط</x:v>
      </x:c>
      <x:c r="E41" s="124" t="n">
        <x:f>COUNTIFS('مواضع الظهور'!$P$5:$P$168,$S41,'مواضع الظهور'!$G$5:$G$168,"قديمة",'مواضع الظهور'!$B$5:$B$168,"مفقود بلا مصدر")</x:f>
        <x:v>0</x:v>
      </x:c>
      <x:c r="F41" s="124" t="n">
        <x:f>COUNTIFS('مواضع الظهور'!$P$5:$P$168,$S41,'مواضع الظهور'!$G$5:$G$168,"حديثة",'مواضع الظهور'!$B$5:$B$168,"مفقود بلا مصدر")</x:f>
        <x:v>1</x:v>
      </x:c>
      <x:c r="G41" s="124" t="n">
        <x:f>SUM(E41:F41)</x:f>
        <x:v>1</x:v>
      </x:c>
      <x:c r="H41" s="62" t="str">
        <x:v>أصول الفقه</x:v>
      </x:c>
      <x:c r="I41" s="62" t="str">
        <x:v>دكتوراه</x:v>
      </x:c>
      <x:c r="J41" s="99" t="str">
        <x:v>حديثة 1</x:v>
      </x:c>
      <x:c r="K41" s="99" t="str">
        <x:v>4</x:v>
      </x:c>
      <x:c r="L41" s="99" t="str">
        <x:v>1</x:v>
      </x:c>
      <x:c r="M41" s="99" t="str">
        <x:v>إجبارية القسم</x:v>
      </x:c>
      <x:c r="N41" s="99" t="str"/>
      <x:c r="O41" s="99" t="str">
        <x:v>2001903-4.pdf</x:v>
      </x:c>
      <x:c r="P41" s="99" t="str">
        <x:v>غير متوفر</x:v>
      </x:c>
      <x:c r="Q41" s="99" t="str"/>
      <x:c r="R41" s="62" t="str"/>
      <x:c r="S41" s="122" t="str">
        <x:v>2001903-4||الاجتهاد الاستدلالي والفتوى</x:v>
      </x:c>
    </x:row>
    <x:row r="42" ht="38" customHeight="1">
      <x:c r="A42" s="124" t="n">
        <x:v>38</x:v>
      </x:c>
      <x:c r="B42" s="99" t="str">
        <x:v>2002111-3</x:v>
      </x:c>
      <x:c r="C42" s="62" t="str">
        <x:v>عرض القراءات السبع (١)</x:v>
      </x:c>
      <x:c r="D42" s="99" t="str">
        <x:f>IF(AND(E42&gt;0,F42&gt;0),"مشتركة بين القديمة والحديثة",IF(E42&gt;0,"قديمة فقط","حديثة فقط"))</x:f>
        <x:v>حديثة فقط</x:v>
      </x:c>
      <x:c r="E42" s="124" t="n">
        <x:f>COUNTIFS('مواضع الظهور'!$P$5:$P$168,$S42,'مواضع الظهور'!$G$5:$G$168,"قديمة",'مواضع الظهور'!$B$5:$B$168,"مفقود بلا مصدر")</x:f>
        <x:v>0</x:v>
      </x:c>
      <x:c r="F42" s="124" t="n">
        <x:f>COUNTIFS('مواضع الظهور'!$P$5:$P$168,$S42,'مواضع الظهور'!$G$5:$G$168,"حديثة",'مواضع الظهور'!$B$5:$B$168,"مفقود بلا مصدر")</x:f>
        <x:v>1</x:v>
      </x:c>
      <x:c r="G42" s="124" t="n">
        <x:f>SUM(E42:F42)</x:f>
        <x:v>1</x:v>
      </x:c>
      <x:c r="H42" s="62" t="str">
        <x:v>القراءات</x:v>
      </x:c>
      <x:c r="I42" s="62" t="str">
        <x:v>بكالوريوس</x:v>
      </x:c>
      <x:c r="J42" s="99" t="str">
        <x:v>حديثة 47</x:v>
      </x:c>
      <x:c r="K42" s="99" t="str">
        <x:v>3</x:v>
      </x:c>
      <x:c r="L42" s="99" t="str">
        <x:v>3</x:v>
      </x:c>
      <x:c r="M42" s="99" t="str">
        <x:v>متطلبات الكلية</x:v>
      </x:c>
      <x:c r="N42" s="99" t="str"/>
      <x:c r="O42" s="99" t="str">
        <x:v>2002111-3.pdf</x:v>
      </x:c>
      <x:c r="P42" s="99" t="str">
        <x:v>غير متوفر</x:v>
      </x:c>
      <x:c r="Q42" s="99" t="str"/>
      <x:c r="R42" s="62" t="str"/>
      <x:c r="S42" s="122" t="str">
        <x:v>2002111-3||عرض القراءات السبع (١)</x:v>
      </x:c>
    </x:row>
    <x:row r="43" ht="38" customHeight="1">
      <x:c r="A43" s="124" t="n">
        <x:v>39</x:v>
      </x:c>
      <x:c r="B43" s="99" t="str">
        <x:v>2002112-3</x:v>
      </x:c>
      <x:c r="C43" s="62" t="str">
        <x:v>عرض القراءات السبع (٢)</x:v>
      </x:c>
      <x:c r="D43" s="99" t="str">
        <x:f>IF(AND(E43&gt;0,F43&gt;0),"مشتركة بين القديمة والحديثة",IF(E43&gt;0,"قديمة فقط","حديثة فقط"))</x:f>
        <x:v>حديثة فقط</x:v>
      </x:c>
      <x:c r="E43" s="124" t="n">
        <x:f>COUNTIFS('مواضع الظهور'!$P$5:$P$168,$S43,'مواضع الظهور'!$G$5:$G$168,"قديمة",'مواضع الظهور'!$B$5:$B$168,"مفقود بلا مصدر")</x:f>
        <x:v>0</x:v>
      </x:c>
      <x:c r="F43" s="124" t="n">
        <x:f>COUNTIFS('مواضع الظهور'!$P$5:$P$168,$S43,'مواضع الظهور'!$G$5:$G$168,"حديثة",'مواضع الظهور'!$B$5:$B$168,"مفقود بلا مصدر")</x:f>
        <x:v>1</x:v>
      </x:c>
      <x:c r="G43" s="124" t="n">
        <x:f>SUM(E43:F43)</x:f>
        <x:v>1</x:v>
      </x:c>
      <x:c r="H43" s="62" t="str">
        <x:v>القراءات</x:v>
      </x:c>
      <x:c r="I43" s="62" t="str">
        <x:v>بكالوريوس</x:v>
      </x:c>
      <x:c r="J43" s="99" t="str">
        <x:v>حديثة 47</x:v>
      </x:c>
      <x:c r="K43" s="99" t="str">
        <x:v>3</x:v>
      </x:c>
      <x:c r="L43" s="99" t="str">
        <x:v>4</x:v>
      </x:c>
      <x:c r="M43" s="99" t="str">
        <x:v>متطلبات الكلية</x:v>
      </x:c>
      <x:c r="N43" s="99" t="str"/>
      <x:c r="O43" s="99" t="str">
        <x:v>2002112-3.pdf</x:v>
      </x:c>
      <x:c r="P43" s="99" t="str">
        <x:v>غير متوفر</x:v>
      </x:c>
      <x:c r="Q43" s="99" t="str"/>
      <x:c r="R43" s="62" t="str"/>
      <x:c r="S43" s="122" t="str">
        <x:v>2002112-3||عرض القراءات السبع (٢)</x:v>
      </x:c>
    </x:row>
    <x:row r="44" ht="38" customHeight="1">
      <x:c r="A44" s="124" t="n">
        <x:v>40</x:v>
      </x:c>
      <x:c r="B44" s="99" t="str">
        <x:v>2002113-3</x:v>
      </x:c>
      <x:c r="C44" s="62" t="str">
        <x:v>عرض القراءات السبع (٣)</x:v>
      </x:c>
      <x:c r="D44" s="99" t="str">
        <x:f>IF(AND(E44&gt;0,F44&gt;0),"مشتركة بين القديمة والحديثة",IF(E44&gt;0,"قديمة فقط","حديثة فقط"))</x:f>
        <x:v>حديثة فقط</x:v>
      </x:c>
      <x:c r="E44" s="124" t="n">
        <x:f>COUNTIFS('مواضع الظهور'!$P$5:$P$168,$S44,'مواضع الظهور'!$G$5:$G$168,"قديمة",'مواضع الظهور'!$B$5:$B$168,"مفقود بلا مصدر")</x:f>
        <x:v>0</x:v>
      </x:c>
      <x:c r="F44" s="124" t="n">
        <x:f>COUNTIFS('مواضع الظهور'!$P$5:$P$168,$S44,'مواضع الظهور'!$G$5:$G$168,"حديثة",'مواضع الظهور'!$B$5:$B$168,"مفقود بلا مصدر")</x:f>
        <x:v>1</x:v>
      </x:c>
      <x:c r="G44" s="124" t="n">
        <x:f>SUM(E44:F44)</x:f>
        <x:v>1</x:v>
      </x:c>
      <x:c r="H44" s="62" t="str">
        <x:v>القراءات</x:v>
      </x:c>
      <x:c r="I44" s="62" t="str">
        <x:v>بكالوريوس</x:v>
      </x:c>
      <x:c r="J44" s="99" t="str">
        <x:v>حديثة 47</x:v>
      </x:c>
      <x:c r="K44" s="99" t="str">
        <x:v>3</x:v>
      </x:c>
      <x:c r="L44" s="99" t="str">
        <x:v>5</x:v>
      </x:c>
      <x:c r="M44" s="99" t="str">
        <x:v>متطلبات الكلية</x:v>
      </x:c>
      <x:c r="N44" s="99" t="str"/>
      <x:c r="O44" s="99" t="str">
        <x:v>2002113-3.pdf</x:v>
      </x:c>
      <x:c r="P44" s="99" t="str">
        <x:v>غير متوفر</x:v>
      </x:c>
      <x:c r="Q44" s="99" t="str"/>
      <x:c r="R44" s="62" t="str"/>
      <x:c r="S44" s="122" t="str">
        <x:v>2002113-3||عرض القراءات السبع (٣)</x:v>
      </x:c>
    </x:row>
    <x:row r="45" ht="38" customHeight="1">
      <x:c r="A45" s="124" t="n">
        <x:v>41</x:v>
      </x:c>
      <x:c r="B45" s="99" t="str">
        <x:v>2002114-3</x:v>
      </x:c>
      <x:c r="C45" s="62" t="str">
        <x:v>عرض القراءات السبع (٤)</x:v>
      </x:c>
      <x:c r="D45" s="99" t="str">
        <x:f>IF(AND(E45&gt;0,F45&gt;0),"مشتركة بين القديمة والحديثة",IF(E45&gt;0,"قديمة فقط","حديثة فقط"))</x:f>
        <x:v>حديثة فقط</x:v>
      </x:c>
      <x:c r="E45" s="124" t="n">
        <x:f>COUNTIFS('مواضع الظهور'!$P$5:$P$168,$S45,'مواضع الظهور'!$G$5:$G$168,"قديمة",'مواضع الظهور'!$B$5:$B$168,"مفقود بلا مصدر")</x:f>
        <x:v>0</x:v>
      </x:c>
      <x:c r="F45" s="124" t="n">
        <x:f>COUNTIFS('مواضع الظهور'!$P$5:$P$168,$S45,'مواضع الظهور'!$G$5:$G$168,"حديثة",'مواضع الظهور'!$B$5:$B$168,"مفقود بلا مصدر")</x:f>
        <x:v>1</x:v>
      </x:c>
      <x:c r="G45" s="124" t="n">
        <x:f>SUM(E45:F45)</x:f>
        <x:v>1</x:v>
      </x:c>
      <x:c r="H45" s="62" t="str">
        <x:v>القراءات</x:v>
      </x:c>
      <x:c r="I45" s="62" t="str">
        <x:v>بكالوريوس</x:v>
      </x:c>
      <x:c r="J45" s="99" t="str">
        <x:v>حديثة 47</x:v>
      </x:c>
      <x:c r="K45" s="99" t="str">
        <x:v>3</x:v>
      </x:c>
      <x:c r="L45" s="99" t="str">
        <x:v>6</x:v>
      </x:c>
      <x:c r="M45" s="99" t="str">
        <x:v>متطلبات الكلية</x:v>
      </x:c>
      <x:c r="N45" s="99" t="str"/>
      <x:c r="O45" s="99" t="str">
        <x:v>2002114-3.pdf</x:v>
      </x:c>
      <x:c r="P45" s="99" t="str">
        <x:v>غير متوفر</x:v>
      </x:c>
      <x:c r="Q45" s="99" t="str"/>
      <x:c r="R45" s="62" t="str"/>
      <x:c r="S45" s="122" t="str">
        <x:v>2002114-3||عرض القراءات السبع (٤)</x:v>
      </x:c>
    </x:row>
    <x:row r="46" ht="38" customHeight="1">
      <x:c r="A46" s="124" t="n">
        <x:v>42</x:v>
      </x:c>
      <x:c r="B46" s="99" t="str">
        <x:v>2002128-1</x:v>
      </x:c>
      <x:c r="C46" s="62" t="str">
        <x:v>القرآن الكريم (1)</x:v>
      </x:c>
      <x:c r="D46" s="99" t="str">
        <x:f>IF(AND(E46&gt;0,F46&gt;0),"مشتركة بين القديمة والحديثة",IF(E46&gt;0,"قديمة فقط","حديثة فقط"))</x:f>
        <x:v>قديمة فقط</x:v>
      </x:c>
      <x:c r="E46" s="124" t="n">
        <x:f>COUNTIFS('مواضع الظهور'!$P$5:$P$168,$S46,'مواضع الظهور'!$G$5:$G$168,"قديمة",'مواضع الظهور'!$B$5:$B$168,"مفقود بلا مصدر")</x:f>
        <x:v>2</x:v>
      </x:c>
      <x:c r="F46" s="124" t="n">
        <x:f>COUNTIFS('مواضع الظهور'!$P$5:$P$168,$S46,'مواضع الظهور'!$G$5:$G$168,"حديثة",'مواضع الظهور'!$B$5:$B$168,"مفقود بلا مصدر")</x:f>
        <x:v>0</x:v>
      </x:c>
      <x:c r="G46" s="124" t="n">
        <x:f>SUM(E46:F46)</x:f>
        <x:v>2</x:v>
      </x:c>
      <x:c r="H46" s="62" t="str">
        <x:v>الشريعة</x:v>
      </x:c>
      <x:c r="I46" s="62" t="str">
        <x:v>بكالوريوس</x:v>
      </x:c>
      <x:c r="J46" s="99" t="str">
        <x:v>قديمة 38؛ قديمة 39</x:v>
      </x:c>
      <x:c r="K46" s="99" t="str">
        <x:v>1</x:v>
      </x:c>
      <x:c r="L46" s="99" t="str">
        <x:v>1</x:v>
      </x:c>
      <x:c r="M46" s="99" t="str">
        <x:v>إجبارية القسم</x:v>
      </x:c>
      <x:c r="N46" s="99" t="str"/>
      <x:c r="O46" s="99" t="str">
        <x:v>2002128-1.pdf</x:v>
      </x:c>
      <x:c r="P46" s="99" t="str">
        <x:v>غير متوفر</x:v>
      </x:c>
      <x:c r="Q46" s="99" t="str"/>
      <x:c r="R46" s="62" t="str"/>
      <x:c r="S46" s="122" t="str">
        <x:v>2002128-1||القرآن الكريم (1)</x:v>
      </x:c>
    </x:row>
    <x:row r="47" ht="38" customHeight="1">
      <x:c r="A47" s="124" t="n">
        <x:v>43</x:v>
      </x:c>
      <x:c r="B47" s="99" t="str">
        <x:v>2002129-1</x:v>
      </x:c>
      <x:c r="C47" s="62" t="str">
        <x:v>القرآن الكريم (2)</x:v>
      </x:c>
      <x:c r="D47" s="99" t="str">
        <x:f>IF(AND(E47&gt;0,F47&gt;0),"مشتركة بين القديمة والحديثة",IF(E47&gt;0,"قديمة فقط","حديثة فقط"))</x:f>
        <x:v>قديمة فقط</x:v>
      </x:c>
      <x:c r="E47" s="124" t="n">
        <x:f>COUNTIFS('مواضع الظهور'!$P$5:$P$168,$S47,'مواضع الظهور'!$G$5:$G$168,"قديمة",'مواضع الظهور'!$B$5:$B$168,"مفقود بلا مصدر")</x:f>
        <x:v>2</x:v>
      </x:c>
      <x:c r="F47" s="124" t="n">
        <x:f>COUNTIFS('مواضع الظهور'!$P$5:$P$168,$S47,'مواضع الظهور'!$G$5:$G$168,"حديثة",'مواضع الظهور'!$B$5:$B$168,"مفقود بلا مصدر")</x:f>
        <x:v>0</x:v>
      </x:c>
      <x:c r="G47" s="124" t="n">
        <x:f>SUM(E47:F47)</x:f>
        <x:v>2</x:v>
      </x:c>
      <x:c r="H47" s="62" t="str">
        <x:v>الشريعة</x:v>
      </x:c>
      <x:c r="I47" s="62" t="str">
        <x:v>بكالوريوس</x:v>
      </x:c>
      <x:c r="J47" s="99" t="str">
        <x:v>قديمة 38؛ قديمة 39</x:v>
      </x:c>
      <x:c r="K47" s="99" t="str">
        <x:v>1</x:v>
      </x:c>
      <x:c r="L47" s="99" t="str">
        <x:v>2</x:v>
      </x:c>
      <x:c r="M47" s="99" t="str">
        <x:v>إجبارية القسم</x:v>
      </x:c>
      <x:c r="N47" s="99" t="str"/>
      <x:c r="O47" s="99" t="str">
        <x:v>2002129-1.pdf</x:v>
      </x:c>
      <x:c r="P47" s="99" t="str">
        <x:v>غير متوفر</x:v>
      </x:c>
      <x:c r="Q47" s="99" t="str"/>
      <x:c r="R47" s="62" t="str"/>
      <x:c r="S47" s="122" t="str">
        <x:v>2002129-1||القرآن الكريم (2)</x:v>
      </x:c>
    </x:row>
    <x:row r="48" ht="38" customHeight="1">
      <x:c r="A48" s="124" t="n">
        <x:v>44</x:v>
      </x:c>
      <x:c r="B48" s="99" t="str">
        <x:v>2002202-2</x:v>
      </x:c>
      <x:c r="C48" s="62" t="str">
        <x:v>القرآن الكريم (2)</x:v>
      </x:c>
      <x:c r="D48" s="99" t="str">
        <x:f>IF(AND(E48&gt;0,F48&gt;0),"مشتركة بين القديمة والحديثة",IF(E48&gt;0,"قديمة فقط","حديثة فقط"))</x:f>
        <x:v>حديثة فقط</x:v>
      </x:c>
      <x:c r="E48" s="124" t="n">
        <x:f>COUNTIFS('مواضع الظهور'!$P$5:$P$168,$S48,'مواضع الظهور'!$G$5:$G$168,"قديمة",'مواضع الظهور'!$B$5:$B$168,"مفقود بلا مصدر")</x:f>
        <x:v>0</x:v>
      </x:c>
      <x:c r="F48" s="124" t="n">
        <x:f>COUNTIFS('مواضع الظهور'!$P$5:$P$168,$S48,'مواضع الظهور'!$G$5:$G$168,"حديثة",'مواضع الظهور'!$B$5:$B$168,"مفقود بلا مصدر")</x:f>
        <x:v>1</x:v>
      </x:c>
      <x:c r="G48" s="124" t="n">
        <x:f>SUM(E48:F48)</x:f>
        <x:v>1</x:v>
      </x:c>
      <x:c r="H48" s="62" t="str">
        <x:v>الدراسات الإسلامية</x:v>
      </x:c>
      <x:c r="I48" s="62" t="str">
        <x:v>بكالوريوس</x:v>
      </x:c>
      <x:c r="J48" s="99" t="str">
        <x:v>حديثة 47</x:v>
      </x:c>
      <x:c r="K48" s="99" t="str">
        <x:v>2</x:v>
      </x:c>
      <x:c r="L48" s="99" t="str">
        <x:v>2</x:v>
      </x:c>
      <x:c r="M48" s="99" t="str">
        <x:v>إجبارية القسم</x:v>
      </x:c>
      <x:c r="N48" s="99" t="str"/>
      <x:c r="O48" s="99" t="str">
        <x:v>2002202-2.pdf</x:v>
      </x:c>
      <x:c r="P48" s="99" t="str">
        <x:v>غير متوفر</x:v>
      </x:c>
      <x:c r="Q48" s="99" t="str"/>
      <x:c r="R48" s="62" t="str"/>
      <x:c r="S48" s="122" t="str">
        <x:v>2002202-2||القرآن الكريم (2)</x:v>
      </x:c>
    </x:row>
    <x:row r="49" ht="38" customHeight="1">
      <x:c r="A49" s="124" t="n">
        <x:v>45</x:v>
      </x:c>
      <x:c r="B49" s="99" t="str">
        <x:v>2002211-1</x:v>
      </x:c>
      <x:c r="C49" s="62" t="str">
        <x:v>القرآن الكريم (3)</x:v>
      </x:c>
      <x:c r="D49" s="99" t="str">
        <x:f>IF(AND(E49&gt;0,F49&gt;0),"مشتركة بين القديمة والحديثة",IF(E49&gt;0,"قديمة فقط","حديثة فقط"))</x:f>
        <x:v>قديمة فقط</x:v>
      </x:c>
      <x:c r="E49" s="124" t="n">
        <x:f>COUNTIFS('مواضع الظهور'!$P$5:$P$168,$S49,'مواضع الظهور'!$G$5:$G$168,"قديمة",'مواضع الظهور'!$B$5:$B$168,"مفقود بلا مصدر")</x:f>
        <x:v>2</x:v>
      </x:c>
      <x:c r="F49" s="124" t="n">
        <x:f>COUNTIFS('مواضع الظهور'!$P$5:$P$168,$S49,'مواضع الظهور'!$G$5:$G$168,"حديثة",'مواضع الظهور'!$B$5:$B$168,"مفقود بلا مصدر")</x:f>
        <x:v>0</x:v>
      </x:c>
      <x:c r="G49" s="124" t="n">
        <x:f>SUM(E49:F49)</x:f>
        <x:v>2</x:v>
      </x:c>
      <x:c r="H49" s="62" t="str">
        <x:v>الشريعة</x:v>
      </x:c>
      <x:c r="I49" s="62" t="str">
        <x:v>بكالوريوس</x:v>
      </x:c>
      <x:c r="J49" s="99" t="str">
        <x:v>قديمة 38؛ قديمة 39</x:v>
      </x:c>
      <x:c r="K49" s="99" t="str">
        <x:v>1</x:v>
      </x:c>
      <x:c r="L49" s="99" t="str">
        <x:v>3</x:v>
      </x:c>
      <x:c r="M49" s="99" t="str">
        <x:v>إجبارية القسم</x:v>
      </x:c>
      <x:c r="N49" s="99" t="str"/>
      <x:c r="O49" s="99" t="str">
        <x:v>2002211-1.pdf</x:v>
      </x:c>
      <x:c r="P49" s="99" t="str">
        <x:v>غير متوفر</x:v>
      </x:c>
      <x:c r="Q49" s="99" t="str"/>
      <x:c r="R49" s="62" t="str"/>
      <x:c r="S49" s="122" t="str">
        <x:v>2002211-1||القرآن الكريم (3)</x:v>
      </x:c>
    </x:row>
    <x:row r="50" ht="38" customHeight="1">
      <x:c r="A50" s="124" t="n">
        <x:v>46</x:v>
      </x:c>
      <x:c r="B50" s="99" t="str">
        <x:v>2002221-1</x:v>
      </x:c>
      <x:c r="C50" s="62" t="str">
        <x:v>القرآن الكريم (4)</x:v>
      </x:c>
      <x:c r="D50" s="99" t="str">
        <x:f>IF(AND(E50&gt;0,F50&gt;0),"مشتركة بين القديمة والحديثة",IF(E50&gt;0,"قديمة فقط","حديثة فقط"))</x:f>
        <x:v>قديمة فقط</x:v>
      </x:c>
      <x:c r="E50" s="124" t="n">
        <x:f>COUNTIFS('مواضع الظهور'!$P$5:$P$168,$S50,'مواضع الظهور'!$G$5:$G$168,"قديمة",'مواضع الظهور'!$B$5:$B$168,"مفقود بلا مصدر")</x:f>
        <x:v>2</x:v>
      </x:c>
      <x:c r="F50" s="124" t="n">
        <x:f>COUNTIFS('مواضع الظهور'!$P$5:$P$168,$S50,'مواضع الظهور'!$G$5:$G$168,"حديثة",'مواضع الظهور'!$B$5:$B$168,"مفقود بلا مصدر")</x:f>
        <x:v>0</x:v>
      </x:c>
      <x:c r="G50" s="124" t="n">
        <x:f>SUM(E50:F50)</x:f>
        <x:v>2</x:v>
      </x:c>
      <x:c r="H50" s="62" t="str">
        <x:v>الشريعة</x:v>
      </x:c>
      <x:c r="I50" s="62" t="str">
        <x:v>بكالوريوس</x:v>
      </x:c>
      <x:c r="J50" s="99" t="str">
        <x:v>قديمة 38؛ قديمة 39</x:v>
      </x:c>
      <x:c r="K50" s="99" t="str">
        <x:v>1</x:v>
      </x:c>
      <x:c r="L50" s="99" t="str">
        <x:v>4</x:v>
      </x:c>
      <x:c r="M50" s="99" t="str">
        <x:v>إجبارية القسم</x:v>
      </x:c>
      <x:c r="N50" s="99" t="str"/>
      <x:c r="O50" s="99" t="str">
        <x:v>2002221-1.pdf</x:v>
      </x:c>
      <x:c r="P50" s="99" t="str">
        <x:v>غير متوفر</x:v>
      </x:c>
      <x:c r="Q50" s="99" t="str"/>
      <x:c r="R50" s="62" t="str"/>
      <x:c r="S50" s="122" t="str">
        <x:v>2002221-1||القرآن الكريم (4)</x:v>
      </x:c>
    </x:row>
    <x:row r="51" ht="38" customHeight="1">
      <x:c r="A51" s="124" t="n">
        <x:v>47</x:v>
      </x:c>
      <x:c r="B51" s="99" t="str">
        <x:v>2002228-2</x:v>
      </x:c>
      <x:c r="C51" s="62" t="str">
        <x:v>القرآن الكريم (٥)</x:v>
      </x:c>
      <x:c r="D51" s="99" t="str">
        <x:f>IF(AND(E51&gt;0,F51&gt;0),"مشتركة بين القديمة والحديثة",IF(E51&gt;0,"قديمة فقط","حديثة فقط"))</x:f>
        <x:v>حديثة فقط</x:v>
      </x:c>
      <x:c r="E51" s="124" t="n">
        <x:f>COUNTIFS('مواضع الظهور'!$P$5:$P$168,$S51,'مواضع الظهور'!$G$5:$G$168,"قديمة",'مواضع الظهور'!$B$5:$B$168,"مفقود بلا مصدر")</x:f>
        <x:v>0</x:v>
      </x:c>
      <x:c r="F51" s="124" t="n">
        <x:f>COUNTIFS('مواضع الظهور'!$P$5:$P$168,$S51,'مواضع الظهور'!$G$5:$G$168,"حديثة",'مواضع الظهور'!$B$5:$B$168,"مفقود بلا مصدر")</x:f>
        <x:v>1</x:v>
      </x:c>
      <x:c r="G51" s="124" t="n">
        <x:f>SUM(E51:F51)</x:f>
        <x:v>1</x:v>
      </x:c>
      <x:c r="H51" s="62" t="str">
        <x:v>الدراسات الإسلامية</x:v>
      </x:c>
      <x:c r="I51" s="62" t="str">
        <x:v>بكالوريوس</x:v>
      </x:c>
      <x:c r="J51" s="99" t="str">
        <x:v>حديثة 47</x:v>
      </x:c>
      <x:c r="K51" s="99" t="str">
        <x:v>2</x:v>
      </x:c>
      <x:c r="L51" s="99" t="str">
        <x:v>5</x:v>
      </x:c>
      <x:c r="M51" s="99" t="str">
        <x:v>إجبارية القسم</x:v>
      </x:c>
      <x:c r="N51" s="99" t="str"/>
      <x:c r="O51" s="99" t="str">
        <x:v>2002228-2.pdf</x:v>
      </x:c>
      <x:c r="P51" s="99" t="str">
        <x:v>غير متوفر</x:v>
      </x:c>
      <x:c r="Q51" s="99" t="str"/>
      <x:c r="R51" s="62" t="str"/>
      <x:c r="S51" s="122" t="str">
        <x:v>2002228-2||القرآن الكريم (٥)</x:v>
      </x:c>
    </x:row>
    <x:row r="52" ht="38" customHeight="1">
      <x:c r="A52" s="124" t="n">
        <x:v>48</x:v>
      </x:c>
      <x:c r="B52" s="99" t="str">
        <x:v>2002229-2</x:v>
      </x:c>
      <x:c r="C52" s="62" t="str">
        <x:v>القرآن الكريم (٦)</x:v>
      </x:c>
      <x:c r="D52" s="99" t="str">
        <x:f>IF(AND(E52&gt;0,F52&gt;0),"مشتركة بين القديمة والحديثة",IF(E52&gt;0,"قديمة فقط","حديثة فقط"))</x:f>
        <x:v>حديثة فقط</x:v>
      </x:c>
      <x:c r="E52" s="124" t="n">
        <x:f>COUNTIFS('مواضع الظهور'!$P$5:$P$168,$S52,'مواضع الظهور'!$G$5:$G$168,"قديمة",'مواضع الظهور'!$B$5:$B$168,"مفقود بلا مصدر")</x:f>
        <x:v>0</x:v>
      </x:c>
      <x:c r="F52" s="124" t="n">
        <x:f>COUNTIFS('مواضع الظهور'!$P$5:$P$168,$S52,'مواضع الظهور'!$G$5:$G$168,"حديثة",'مواضع الظهور'!$B$5:$B$168,"مفقود بلا مصدر")</x:f>
        <x:v>1</x:v>
      </x:c>
      <x:c r="G52" s="124" t="n">
        <x:f>SUM(E52:F52)</x:f>
        <x:v>1</x:v>
      </x:c>
      <x:c r="H52" s="62" t="str">
        <x:v>الدراسات الإسلامية</x:v>
      </x:c>
      <x:c r="I52" s="62" t="str">
        <x:v>بكالوريوس</x:v>
      </x:c>
      <x:c r="J52" s="99" t="str">
        <x:v>حديثة 47</x:v>
      </x:c>
      <x:c r="K52" s="99" t="str">
        <x:v>2</x:v>
      </x:c>
      <x:c r="L52" s="99" t="str">
        <x:v>6</x:v>
      </x:c>
      <x:c r="M52" s="99" t="str">
        <x:v>إجبارية القسم</x:v>
      </x:c>
      <x:c r="N52" s="99" t="str"/>
      <x:c r="O52" s="99" t="str">
        <x:v>2002229-2.pdf</x:v>
      </x:c>
      <x:c r="P52" s="99" t="str">
        <x:v>غير متوفر</x:v>
      </x:c>
      <x:c r="Q52" s="99" t="str"/>
      <x:c r="R52" s="62" t="str"/>
      <x:c r="S52" s="122" t="str">
        <x:v>2002229-2||القرآن الكريم (٦)</x:v>
      </x:c>
    </x:row>
    <x:row r="53" ht="38" customHeight="1">
      <x:c r="A53" s="124" t="n">
        <x:v>49</x:v>
      </x:c>
      <x:c r="B53" s="99" t="str">
        <x:v>2002230-2</x:v>
      </x:c>
      <x:c r="C53" s="62" t="str">
        <x:v>علوم قرآن</x:v>
      </x:c>
      <x:c r="D53" s="99" t="str">
        <x:f>IF(AND(E53&gt;0,F53&gt;0),"مشتركة بين القديمة والحديثة",IF(E53&gt;0,"قديمة فقط","حديثة فقط"))</x:f>
        <x:v>قديمة فقط</x:v>
      </x:c>
      <x:c r="E53" s="124" t="n">
        <x:f>COUNTIFS('مواضع الظهور'!$P$5:$P$168,$S53,'مواضع الظهور'!$G$5:$G$168,"قديمة",'مواضع الظهور'!$B$5:$B$168,"مفقود بلا مصدر")</x:f>
        <x:v>2</x:v>
      </x:c>
      <x:c r="F53" s="124" t="n">
        <x:f>COUNTIFS('مواضع الظهور'!$P$5:$P$168,$S53,'مواضع الظهور'!$G$5:$G$168,"حديثة",'مواضع الظهور'!$B$5:$B$168,"مفقود بلا مصدر")</x:f>
        <x:v>0</x:v>
      </x:c>
      <x:c r="G53" s="124" t="n">
        <x:f>SUM(E53:F53)</x:f>
        <x:v>2</x:v>
      </x:c>
      <x:c r="H53" s="62" t="str">
        <x:v>الشريعة</x:v>
      </x:c>
      <x:c r="I53" s="62" t="str">
        <x:v>بكالوريوس</x:v>
      </x:c>
      <x:c r="J53" s="99" t="str">
        <x:v>قديمة 38؛ قديمة 39</x:v>
      </x:c>
      <x:c r="K53" s="99" t="str">
        <x:v>2</x:v>
      </x:c>
      <x:c r="L53" s="99" t="str">
        <x:v>1</x:v>
      </x:c>
      <x:c r="M53" s="99" t="str">
        <x:v>إجبارية القسم</x:v>
      </x:c>
      <x:c r="N53" s="99" t="str"/>
      <x:c r="O53" s="99" t="str">
        <x:v>2002230-2.pdf</x:v>
      </x:c>
      <x:c r="P53" s="99" t="str">
        <x:v>غير متوفر</x:v>
      </x:c>
      <x:c r="Q53" s="99" t="str"/>
      <x:c r="R53" s="62" t="str"/>
      <x:c r="S53" s="122" t="str">
        <x:v>2002230-2||علوم قرآن</x:v>
      </x:c>
    </x:row>
    <x:row r="54" ht="38" customHeight="1">
      <x:c r="A54" s="124" t="n">
        <x:v>50</x:v>
      </x:c>
      <x:c r="B54" s="99" t="str">
        <x:v>2002236-2</x:v>
      </x:c>
      <x:c r="C54" s="62" t="str">
        <x:v>القرآن الكريم (٨)</x:v>
      </x:c>
      <x:c r="D54" s="99" t="str">
        <x:f>IF(AND(E54&gt;0,F54&gt;0),"مشتركة بين القديمة والحديثة",IF(E54&gt;0,"قديمة فقط","حديثة فقط"))</x:f>
        <x:v>حديثة فقط</x:v>
      </x:c>
      <x:c r="E54" s="124" t="n">
        <x:f>COUNTIFS('مواضع الظهور'!$P$5:$P$168,$S54,'مواضع الظهور'!$G$5:$G$168,"قديمة",'مواضع الظهور'!$B$5:$B$168,"مفقود بلا مصدر")</x:f>
        <x:v>0</x:v>
      </x:c>
      <x:c r="F54" s="124" t="n">
        <x:f>COUNTIFS('مواضع الظهور'!$P$5:$P$168,$S54,'مواضع الظهور'!$G$5:$G$168,"حديثة",'مواضع الظهور'!$B$5:$B$168,"مفقود بلا مصدر")</x:f>
        <x:v>1</x:v>
      </x:c>
      <x:c r="G54" s="124" t="n">
        <x:f>SUM(E54:F54)</x:f>
        <x:v>1</x:v>
      </x:c>
      <x:c r="H54" s="62" t="str">
        <x:v>الدراسات الإسلامية</x:v>
      </x:c>
      <x:c r="I54" s="62" t="str">
        <x:v>بكالوريوس</x:v>
      </x:c>
      <x:c r="J54" s="99" t="str">
        <x:v>حديثة 47</x:v>
      </x:c>
      <x:c r="K54" s="99" t="str">
        <x:v>2</x:v>
      </x:c>
      <x:c r="L54" s="99" t="str">
        <x:v>8</x:v>
      </x:c>
      <x:c r="M54" s="99" t="str">
        <x:v>إجبارية القسم</x:v>
      </x:c>
      <x:c r="N54" s="99" t="str"/>
      <x:c r="O54" s="99" t="str">
        <x:v>2002236-2.pdf</x:v>
      </x:c>
      <x:c r="P54" s="99" t="str">
        <x:v>غير متوفر</x:v>
      </x:c>
      <x:c r="Q54" s="99" t="str"/>
      <x:c r="R54" s="62" t="str"/>
      <x:c r="S54" s="122" t="str">
        <x:v>2002236-2||القرآن الكريم (٨)</x:v>
      </x:c>
    </x:row>
    <x:row r="55" ht="38" customHeight="1">
      <x:c r="A55" s="124" t="n">
        <x:v>51</x:v>
      </x:c>
      <x:c r="B55" s="99" t="str">
        <x:v>2002238-2</x:v>
      </x:c>
      <x:c r="C55" s="62" t="str">
        <x:v>الوقف والابتداء</x:v>
      </x:c>
      <x:c r="D55" s="99" t="str">
        <x:f>IF(AND(E55&gt;0,F55&gt;0),"مشتركة بين القديمة والحديثة",IF(E55&gt;0,"قديمة فقط","حديثة فقط"))</x:f>
        <x:v>حديثة فقط</x:v>
      </x:c>
      <x:c r="E55" s="124" t="n">
        <x:f>COUNTIFS('مواضع الظهور'!$P$5:$P$168,$S55,'مواضع الظهور'!$G$5:$G$168,"قديمة",'مواضع الظهور'!$B$5:$B$168,"مفقود بلا مصدر")</x:f>
        <x:v>0</x:v>
      </x:c>
      <x:c r="F55" s="124" t="n">
        <x:f>COUNTIFS('مواضع الظهور'!$P$5:$P$168,$S55,'مواضع الظهور'!$G$5:$G$168,"حديثة",'مواضع الظهور'!$B$5:$B$168,"مفقود بلا مصدر")</x:f>
        <x:v>1</x:v>
      </x:c>
      <x:c r="G55" s="124" t="n">
        <x:f>SUM(E55:F55)</x:f>
        <x:v>1</x:v>
      </x:c>
      <x:c r="H55" s="62" t="str">
        <x:v>القراءات</x:v>
      </x:c>
      <x:c r="I55" s="62" t="str">
        <x:v>بكالوريوس</x:v>
      </x:c>
      <x:c r="J55" s="99" t="str">
        <x:v>حديثة 47</x:v>
      </x:c>
      <x:c r="K55" s="99" t="str">
        <x:v>2</x:v>
      </x:c>
      <x:c r="L55" s="99" t="str">
        <x:v>5</x:v>
      </x:c>
      <x:c r="M55" s="99" t="str">
        <x:v>متطلبات الكلية</x:v>
      </x:c>
      <x:c r="N55" s="99" t="str"/>
      <x:c r="O55" s="99" t="str">
        <x:v>2002238-2.pdf</x:v>
      </x:c>
      <x:c r="P55" s="99" t="str">
        <x:v>غير متوفر</x:v>
      </x:c>
      <x:c r="Q55" s="99" t="str"/>
      <x:c r="R55" s="62" t="str"/>
      <x:c r="S55" s="122" t="str">
        <x:v>2002238-2||الوقف والابتداء</x:v>
      </x:c>
    </x:row>
    <x:row r="56" ht="38" customHeight="1">
      <x:c r="A56" s="124" t="n">
        <x:v>52</x:v>
      </x:c>
      <x:c r="B56" s="99" t="str">
        <x:v>2002239-2</x:v>
      </x:c>
      <x:c r="C56" s="62" t="str">
        <x:v>مصادر ومناهج المؤلفين في القراءات</x:v>
      </x:c>
      <x:c r="D56" s="99" t="str">
        <x:f>IF(AND(E56&gt;0,F56&gt;0),"مشتركة بين القديمة والحديثة",IF(E56&gt;0,"قديمة فقط","حديثة فقط"))</x:f>
        <x:v>حديثة فقط</x:v>
      </x:c>
      <x:c r="E56" s="124" t="n">
        <x:f>COUNTIFS('مواضع الظهور'!$P$5:$P$168,$S56,'مواضع الظهور'!$G$5:$G$168,"قديمة",'مواضع الظهور'!$B$5:$B$168,"مفقود بلا مصدر")</x:f>
        <x:v>0</x:v>
      </x:c>
      <x:c r="F56" s="124" t="n">
        <x:f>COUNTIFS('مواضع الظهور'!$P$5:$P$168,$S56,'مواضع الظهور'!$G$5:$G$168,"حديثة",'مواضع الظهور'!$B$5:$B$168,"مفقود بلا مصدر")</x:f>
        <x:v>1</x:v>
      </x:c>
      <x:c r="G56" s="124" t="n">
        <x:f>SUM(E56:F56)</x:f>
        <x:v>1</x:v>
      </x:c>
      <x:c r="H56" s="62" t="str">
        <x:v>القراءات</x:v>
      </x:c>
      <x:c r="I56" s="62" t="str">
        <x:v>بكالوريوس</x:v>
      </x:c>
      <x:c r="J56" s="99" t="str">
        <x:v>حديثة 47</x:v>
      </x:c>
      <x:c r="K56" s="99" t="str">
        <x:v>2</x:v>
      </x:c>
      <x:c r="L56" s="99" t="str">
        <x:v>5</x:v>
      </x:c>
      <x:c r="M56" s="99" t="str">
        <x:v>متطلبات الكلية</x:v>
      </x:c>
      <x:c r="N56" s="99" t="str"/>
      <x:c r="O56" s="99" t="str">
        <x:v>2002239-2.pdf</x:v>
      </x:c>
      <x:c r="P56" s="99" t="str">
        <x:v>غير متوفر</x:v>
      </x:c>
      <x:c r="Q56" s="99" t="str"/>
      <x:c r="R56" s="62" t="str"/>
      <x:c r="S56" s="122" t="str">
        <x:v>2002239-2||مصادر ومناهج المؤلفين في القراءات</x:v>
      </x:c>
    </x:row>
    <x:row r="57" ht="38" customHeight="1">
      <x:c r="A57" s="124" t="n">
        <x:v>53</x:v>
      </x:c>
      <x:c r="B57" s="99" t="str">
        <x:v>2002241-2</x:v>
      </x:c>
      <x:c r="C57" s="62" t="str">
        <x:v>تفسير آيات الأحكام (1)</x:v>
      </x:c>
      <x:c r="D57" s="99" t="str">
        <x:f>IF(AND(E57&gt;0,F57&gt;0),"مشتركة بين القديمة والحديثة",IF(E57&gt;0,"قديمة فقط","حديثة فقط"))</x:f>
        <x:v>قديمة فقط</x:v>
      </x:c>
      <x:c r="E57" s="124" t="n">
        <x:f>COUNTIFS('مواضع الظهور'!$P$5:$P$168,$S57,'مواضع الظهور'!$G$5:$G$168,"قديمة",'مواضع الظهور'!$B$5:$B$168,"مفقود بلا مصدر")</x:f>
        <x:v>2</x:v>
      </x:c>
      <x:c r="F57" s="124" t="n">
        <x:f>COUNTIFS('مواضع الظهور'!$P$5:$P$168,$S57,'مواضع الظهور'!$G$5:$G$168,"حديثة",'مواضع الظهور'!$B$5:$B$168,"مفقود بلا مصدر")</x:f>
        <x:v>0</x:v>
      </x:c>
      <x:c r="G57" s="124" t="n">
        <x:f>SUM(E57:F57)</x:f>
        <x:v>2</x:v>
      </x:c>
      <x:c r="H57" s="62" t="str">
        <x:v>الشريعة</x:v>
      </x:c>
      <x:c r="I57" s="62" t="str">
        <x:v>بكالوريوس</x:v>
      </x:c>
      <x:c r="J57" s="99" t="str">
        <x:v>قديمة 38؛ قديمة 39</x:v>
      </x:c>
      <x:c r="K57" s="99" t="str">
        <x:v>2</x:v>
      </x:c>
      <x:c r="L57" s="99" t="str">
        <x:v>2</x:v>
      </x:c>
      <x:c r="M57" s="99" t="str">
        <x:v>إجبارية القسم</x:v>
      </x:c>
      <x:c r="N57" s="99" t="str"/>
      <x:c r="O57" s="99" t="str">
        <x:v>2002241-2.pdf</x:v>
      </x:c>
      <x:c r="P57" s="99" t="str">
        <x:v>غير متوفر</x:v>
      </x:c>
      <x:c r="Q57" s="99" t="str"/>
      <x:c r="R57" s="62" t="str"/>
      <x:c r="S57" s="122" t="str">
        <x:v>2002241-2||تفسير آيات الأحكام (1)</x:v>
      </x:c>
    </x:row>
    <x:row r="58" ht="38" customHeight="1">
      <x:c r="A58" s="124" t="n">
        <x:v>54</x:v>
      </x:c>
      <x:c r="B58" s="99" t="str">
        <x:v>2002242-2</x:v>
      </x:c>
      <x:c r="C58" s="62" t="str">
        <x:v>تفسير آيات الأحكام (2)</x:v>
      </x:c>
      <x:c r="D58" s="99" t="str">
        <x:f>IF(AND(E58&gt;0,F58&gt;0),"مشتركة بين القديمة والحديثة",IF(E58&gt;0,"قديمة فقط","حديثة فقط"))</x:f>
        <x:v>قديمة فقط</x:v>
      </x:c>
      <x:c r="E58" s="124" t="n">
        <x:f>COUNTIFS('مواضع الظهور'!$P$5:$P$168,$S58,'مواضع الظهور'!$G$5:$G$168,"قديمة",'مواضع الظهور'!$B$5:$B$168,"مفقود بلا مصدر")</x:f>
        <x:v>2</x:v>
      </x:c>
      <x:c r="F58" s="124" t="n">
        <x:f>COUNTIFS('مواضع الظهور'!$P$5:$P$168,$S58,'مواضع الظهور'!$G$5:$G$168,"حديثة",'مواضع الظهور'!$B$5:$B$168,"مفقود بلا مصدر")</x:f>
        <x:v>0</x:v>
      </x:c>
      <x:c r="G58" s="124" t="n">
        <x:f>SUM(E58:F58)</x:f>
        <x:v>2</x:v>
      </x:c>
      <x:c r="H58" s="62" t="str">
        <x:v>الشريعة</x:v>
      </x:c>
      <x:c r="I58" s="62" t="str">
        <x:v>بكالوريوس</x:v>
      </x:c>
      <x:c r="J58" s="99" t="str">
        <x:v>قديمة 38؛ قديمة 39</x:v>
      </x:c>
      <x:c r="K58" s="99" t="str">
        <x:v>2</x:v>
      </x:c>
      <x:c r="L58" s="99" t="str">
        <x:v>3</x:v>
      </x:c>
      <x:c r="M58" s="99" t="str">
        <x:v>إجبارية القسم</x:v>
      </x:c>
      <x:c r="N58" s="99" t="str"/>
      <x:c r="O58" s="99" t="str">
        <x:v>2002242-2.pdf</x:v>
      </x:c>
      <x:c r="P58" s="99" t="str">
        <x:v>غير متوفر</x:v>
      </x:c>
      <x:c r="Q58" s="99" t="str"/>
      <x:c r="R58" s="62" t="str"/>
      <x:c r="S58" s="122" t="str">
        <x:v>2002242-2||تفسير آيات الأحكام (2)</x:v>
      </x:c>
    </x:row>
    <x:row r="59" ht="38" customHeight="1">
      <x:c r="A59" s="124" t="n">
        <x:v>55</x:v>
      </x:c>
      <x:c r="B59" s="99" t="str">
        <x:v>2002266-5</x:v>
      </x:c>
      <x:c r="C59" s="62" t="str">
        <x:v>التدريب التعاوني</x:v>
      </x:c>
      <x:c r="D59" s="99" t="str">
        <x:f>IF(AND(E59&gt;0,F59&gt;0),"مشتركة بين القديمة والحديثة",IF(E59&gt;0,"قديمة فقط","حديثة فقط"))</x:f>
        <x:v>حديثة فقط</x:v>
      </x:c>
      <x:c r="E59" s="124" t="n">
        <x:f>COUNTIFS('مواضع الظهور'!$P$5:$P$168,$S59,'مواضع الظهور'!$G$5:$G$168,"قديمة",'مواضع الظهور'!$B$5:$B$168,"مفقود بلا مصدر")</x:f>
        <x:v>0</x:v>
      </x:c>
      <x:c r="F59" s="124" t="n">
        <x:f>COUNTIFS('مواضع الظهور'!$P$5:$P$168,$S59,'مواضع الظهور'!$G$5:$G$168,"حديثة",'مواضع الظهور'!$B$5:$B$168,"مفقود بلا مصدر")</x:f>
        <x:v>1</x:v>
      </x:c>
      <x:c r="G59" s="124" t="n">
        <x:f>SUM(E59:F59)</x:f>
        <x:v>1</x:v>
      </x:c>
      <x:c r="H59" s="62" t="str">
        <x:v>القرآن وعلومه</x:v>
      </x:c>
      <x:c r="I59" s="62" t="str">
        <x:v>بكالوريوس</x:v>
      </x:c>
      <x:c r="J59" s="99" t="str">
        <x:v>حديثة 47</x:v>
      </x:c>
      <x:c r="K59" s="99" t="str">
        <x:v>5</x:v>
      </x:c>
      <x:c r="L59" s="99" t="str">
        <x:v>8</x:v>
      </x:c>
      <x:c r="M59" s="99" t="str">
        <x:v>إجبارية القسم</x:v>
      </x:c>
      <x:c r="N59" s="99" t="str"/>
      <x:c r="O59" s="99" t="str">
        <x:v>2002266-5.pdf</x:v>
      </x:c>
      <x:c r="P59" s="99" t="str">
        <x:v>غير متوفر</x:v>
      </x:c>
      <x:c r="Q59" s="99" t="str"/>
      <x:c r="R59" s="62" t="str"/>
      <x:c r="S59" s="122" t="str">
        <x:v>2002266-5||التدريب التعاوني</x:v>
      </x:c>
    </x:row>
    <x:row r="60" ht="38" customHeight="1">
      <x:c r="A60" s="124" t="n">
        <x:v>56</x:v>
      </x:c>
      <x:c r="B60" s="99" t="str">
        <x:v>2002266-6</x:v>
      </x:c>
      <x:c r="C60" s="62" t="str">
        <x:v>التدريب التعاوني</x:v>
      </x:c>
      <x:c r="D60" s="99" t="str">
        <x:f>IF(AND(E60&gt;0,F60&gt;0),"مشتركة بين القديمة والحديثة",IF(E60&gt;0,"قديمة فقط","حديثة فقط"))</x:f>
        <x:v>حديثة فقط</x:v>
      </x:c>
      <x:c r="E60" s="124" t="n">
        <x:f>COUNTIFS('مواضع الظهور'!$P$5:$P$168,$S60,'مواضع الظهور'!$G$5:$G$168,"قديمة",'مواضع الظهور'!$B$5:$B$168,"مفقود بلا مصدر")</x:f>
        <x:v>0</x:v>
      </x:c>
      <x:c r="F60" s="124" t="n">
        <x:f>COUNTIFS('مواضع الظهور'!$P$5:$P$168,$S60,'مواضع الظهور'!$G$5:$G$168,"حديثة",'مواضع الظهور'!$B$5:$B$168,"مفقود بلا مصدر")</x:f>
        <x:v>1</x:v>
      </x:c>
      <x:c r="G60" s="124" t="n">
        <x:f>SUM(E60:F60)</x:f>
        <x:v>1</x:v>
      </x:c>
      <x:c r="H60" s="62" t="str">
        <x:v>القراءات</x:v>
      </x:c>
      <x:c r="I60" s="62" t="str">
        <x:v>بكالوريوس</x:v>
      </x:c>
      <x:c r="J60" s="99" t="str">
        <x:v>حديثة 47</x:v>
      </x:c>
      <x:c r="K60" s="99" t="str">
        <x:v>6</x:v>
      </x:c>
      <x:c r="L60" s="99" t="str">
        <x:v>8</x:v>
      </x:c>
      <x:c r="M60" s="99" t="str">
        <x:v>متطلبات الكلية</x:v>
      </x:c>
      <x:c r="N60" s="99" t="str"/>
      <x:c r="O60" s="99" t="str">
        <x:v>2002266-6.pdf</x:v>
      </x:c>
      <x:c r="P60" s="99" t="str">
        <x:v>غير متوفر</x:v>
      </x:c>
      <x:c r="Q60" s="99" t="str"/>
      <x:c r="R60" s="62" t="str"/>
      <x:c r="S60" s="122" t="str">
        <x:v>2002266-6||التدريب التعاوني</x:v>
      </x:c>
    </x:row>
    <x:row r="61" ht="38" customHeight="1">
      <x:c r="A61" s="124" t="n">
        <x:v>57</x:v>
      </x:c>
      <x:c r="B61" s="99" t="str">
        <x:v>2002280-2</x:v>
      </x:c>
      <x:c r="C61" s="62" t="str">
        <x:v>تدريبات على الجمع والكيفيات</x:v>
      </x:c>
      <x:c r="D61" s="99" t="str">
        <x:f>IF(AND(E61&gt;0,F61&gt;0),"مشتركة بين القديمة والحديثة",IF(E61&gt;0,"قديمة فقط","حديثة فقط"))</x:f>
        <x:v>حديثة فقط</x:v>
      </x:c>
      <x:c r="E61" s="124" t="n">
        <x:f>COUNTIFS('مواضع الظهور'!$P$5:$P$168,$S61,'مواضع الظهور'!$G$5:$G$168,"قديمة",'مواضع الظهور'!$B$5:$B$168,"مفقود بلا مصدر")</x:f>
        <x:v>0</x:v>
      </x:c>
      <x:c r="F61" s="124" t="n">
        <x:f>COUNTIFS('مواضع الظهور'!$P$5:$P$168,$S61,'مواضع الظهور'!$G$5:$G$168,"حديثة",'مواضع الظهور'!$B$5:$B$168,"مفقود بلا مصدر")</x:f>
        <x:v>1</x:v>
      </x:c>
      <x:c r="G61" s="124" t="n">
        <x:f>SUM(E61:F61)</x:f>
        <x:v>1</x:v>
      </x:c>
      <x:c r="H61" s="62" t="str">
        <x:v>القراءات</x:v>
      </x:c>
      <x:c r="I61" s="62" t="str">
        <x:v>بكالوريوس</x:v>
      </x:c>
      <x:c r="J61" s="99" t="str">
        <x:v>حديثة 47</x:v>
      </x:c>
      <x:c r="K61" s="99" t="str">
        <x:v>2</x:v>
      </x:c>
      <x:c r="L61" s="99" t="str">
        <x:v>3</x:v>
      </x:c>
      <x:c r="M61" s="99" t="str">
        <x:v>متطلبات الكلية</x:v>
      </x:c>
      <x:c r="N61" s="99" t="str"/>
      <x:c r="O61" s="99" t="str">
        <x:v>2002280-2.pdf</x:v>
      </x:c>
      <x:c r="P61" s="99" t="str">
        <x:v>غير متوفر</x:v>
      </x:c>
      <x:c r="Q61" s="99" t="str"/>
      <x:c r="R61" s="62" t="str"/>
      <x:c r="S61" s="122" t="str">
        <x:v>2002280-2||تدريبات على الجمع والكيفيات</x:v>
      </x:c>
    </x:row>
    <x:row r="62" ht="38" customHeight="1">
      <x:c r="A62" s="124" t="n">
        <x:v>58</x:v>
      </x:c>
      <x:c r="B62" s="99" t="str">
        <x:v>2002310-2</x:v>
      </x:c>
      <x:c r="C62" s="62" t="str">
        <x:v>قرآن كريم حفظ وتلاوة</x:v>
      </x:c>
      <x:c r="D62" s="99" t="str">
        <x:f>IF(AND(E62&gt;0,F62&gt;0),"مشتركة بين القديمة والحديثة",IF(E62&gt;0,"قديمة فقط","حديثة فقط"))</x:f>
        <x:v>قديمة فقط</x:v>
      </x:c>
      <x:c r="E62" s="124" t="n">
        <x:f>COUNTIFS('مواضع الظهور'!$P$5:$P$168,$S62,'مواضع الظهور'!$G$5:$G$168,"قديمة",'مواضع الظهور'!$B$5:$B$168,"مفقود بلا مصدر")</x:f>
        <x:v>1</x:v>
      </x:c>
      <x:c r="F62" s="124" t="n">
        <x:f>COUNTIFS('مواضع الظهور'!$P$5:$P$168,$S62,'مواضع الظهور'!$G$5:$G$168,"حديثة",'مواضع الظهور'!$B$5:$B$168,"مفقود بلا مصدر")</x:f>
        <x:v>0</x:v>
      </x:c>
      <x:c r="G62" s="124" t="n">
        <x:f>SUM(E62:F62)</x:f>
        <x:v>1</x:v>
      </x:c>
      <x:c r="H62" s="62" t="str">
        <x:v>الدراسات الإسلامية</x:v>
      </x:c>
      <x:c r="I62" s="62" t="str">
        <x:v>بكالوريوس</x:v>
      </x:c>
      <x:c r="J62" s="99" t="str">
        <x:v>قديمة 39</x:v>
      </x:c>
      <x:c r="K62" s="99" t="str">
        <x:v>2</x:v>
      </x:c>
      <x:c r="L62" s="99" t="str">
        <x:v>5</x:v>
      </x:c>
      <x:c r="M62" s="99" t="str">
        <x:v>إجبارية القسم</x:v>
      </x:c>
      <x:c r="N62" s="99" t="str"/>
      <x:c r="O62" s="99" t="str">
        <x:v>2002310-2.pdf</x:v>
      </x:c>
      <x:c r="P62" s="99" t="str">
        <x:v>غير متوفر</x:v>
      </x:c>
      <x:c r="Q62" s="99" t="str"/>
      <x:c r="R62" s="62" t="str"/>
      <x:c r="S62" s="122" t="str">
        <x:v>2002310-2||قرآن كريم حفظ وتلاوة</x:v>
      </x:c>
    </x:row>
    <x:row r="63" ht="38" customHeight="1">
      <x:c r="A63" s="124" t="n">
        <x:v>59</x:v>
      </x:c>
      <x:c r="B63" s="99" t="str">
        <x:v>2002310-3</x:v>
      </x:c>
      <x:c r="C63" s="62" t="str">
        <x:v>التفسير التحليلي (٣)</x:v>
      </x:c>
      <x:c r="D63" s="99" t="str">
        <x:f>IF(AND(E63&gt;0,F63&gt;0),"مشتركة بين القديمة والحديثة",IF(E63&gt;0,"قديمة فقط","حديثة فقط"))</x:f>
        <x:v>حديثة فقط</x:v>
      </x:c>
      <x:c r="E63" s="124" t="n">
        <x:f>COUNTIFS('مواضع الظهور'!$P$5:$P$168,$S63,'مواضع الظهور'!$G$5:$G$168,"قديمة",'مواضع الظهور'!$B$5:$B$168,"مفقود بلا مصدر")</x:f>
        <x:v>0</x:v>
      </x:c>
      <x:c r="F63" s="124" t="n">
        <x:f>COUNTIFS('مواضع الظهور'!$P$5:$P$168,$S63,'مواضع الظهور'!$G$5:$G$168,"حديثة",'مواضع الظهور'!$B$5:$B$168,"مفقود بلا مصدر")</x:f>
        <x:v>1</x:v>
      </x:c>
      <x:c r="G63" s="124" t="n">
        <x:f>SUM(E63:F63)</x:f>
        <x:v>1</x:v>
      </x:c>
      <x:c r="H63" s="62" t="str">
        <x:v>الدراسات الإسلامية</x:v>
      </x:c>
      <x:c r="I63" s="62" t="str">
        <x:v>بكالوريوس</x:v>
      </x:c>
      <x:c r="J63" s="99" t="str">
        <x:v>حديثة 47</x:v>
      </x:c>
      <x:c r="K63" s="99" t="str">
        <x:v>3</x:v>
      </x:c>
      <x:c r="L63" s="99" t="str">
        <x:v>6</x:v>
      </x:c>
      <x:c r="M63" s="99" t="str">
        <x:v>إجبارية القسم</x:v>
      </x:c>
      <x:c r="N63" s="99" t="str"/>
      <x:c r="O63" s="99" t="str">
        <x:v>2002310-3.pdf</x:v>
      </x:c>
      <x:c r="P63" s="99" t="str">
        <x:v>غير متوفر</x:v>
      </x:c>
      <x:c r="Q63" s="99" t="str"/>
      <x:c r="R63" s="62" t="str"/>
      <x:c r="S63" s="122" t="str">
        <x:v>2002310-3||التفسير التحليلي (٣)</x:v>
      </x:c>
    </x:row>
    <x:row r="64" ht="38" customHeight="1">
      <x:c r="A64" s="124" t="n">
        <x:v>60</x:v>
      </x:c>
      <x:c r="B64" s="99" t="str">
        <x:v>2002311-1</x:v>
      </x:c>
      <x:c r="C64" s="62" t="str">
        <x:v>القرآن الكريم (5)</x:v>
      </x:c>
      <x:c r="D64" s="99" t="str">
        <x:f>IF(AND(E64&gt;0,F64&gt;0),"مشتركة بين القديمة والحديثة",IF(E64&gt;0,"قديمة فقط","حديثة فقط"))</x:f>
        <x:v>قديمة فقط</x:v>
      </x:c>
      <x:c r="E64" s="124" t="n">
        <x:f>COUNTIFS('مواضع الظهور'!$P$5:$P$168,$S64,'مواضع الظهور'!$G$5:$G$168,"قديمة",'مواضع الظهور'!$B$5:$B$168,"مفقود بلا مصدر")</x:f>
        <x:v>2</x:v>
      </x:c>
      <x:c r="F64" s="124" t="n">
        <x:f>COUNTIFS('مواضع الظهور'!$P$5:$P$168,$S64,'مواضع الظهور'!$G$5:$G$168,"حديثة",'مواضع الظهور'!$B$5:$B$168,"مفقود بلا مصدر")</x:f>
        <x:v>0</x:v>
      </x:c>
      <x:c r="G64" s="124" t="n">
        <x:f>SUM(E64:F64)</x:f>
        <x:v>2</x:v>
      </x:c>
      <x:c r="H64" s="62" t="str">
        <x:v>الشريعة</x:v>
      </x:c>
      <x:c r="I64" s="62" t="str">
        <x:v>بكالوريوس</x:v>
      </x:c>
      <x:c r="J64" s="99" t="str">
        <x:v>قديمة 38؛ قديمة 39</x:v>
      </x:c>
      <x:c r="K64" s="99" t="str">
        <x:v>1</x:v>
      </x:c>
      <x:c r="L64" s="99" t="str">
        <x:v>5</x:v>
      </x:c>
      <x:c r="M64" s="99" t="str">
        <x:v>إجبارية القسم</x:v>
      </x:c>
      <x:c r="N64" s="99" t="str"/>
      <x:c r="O64" s="99" t="str">
        <x:v>2002311-1.pdf</x:v>
      </x:c>
      <x:c r="P64" s="99" t="str">
        <x:v>غير متوفر</x:v>
      </x:c>
      <x:c r="Q64" s="99" t="str"/>
      <x:c r="R64" s="62" t="str"/>
      <x:c r="S64" s="122" t="str">
        <x:v>2002311-1||القرآن الكريم (5)</x:v>
      </x:c>
    </x:row>
    <x:row r="65" ht="38" customHeight="1">
      <x:c r="A65" s="124" t="n">
        <x:v>61</x:v>
      </x:c>
      <x:c r="B65" s="99" t="str">
        <x:v>2002312-1</x:v>
      </x:c>
      <x:c r="C65" s="62" t="str">
        <x:v>القرآن الكريم (6)</x:v>
      </x:c>
      <x:c r="D65" s="99" t="str">
        <x:f>IF(AND(E65&gt;0,F65&gt;0),"مشتركة بين القديمة والحديثة",IF(E65&gt;0,"قديمة فقط","حديثة فقط"))</x:f>
        <x:v>قديمة فقط</x:v>
      </x:c>
      <x:c r="E65" s="124" t="n">
        <x:f>COUNTIFS('مواضع الظهور'!$P$5:$P$168,$S65,'مواضع الظهور'!$G$5:$G$168,"قديمة",'مواضع الظهور'!$B$5:$B$168,"مفقود بلا مصدر")</x:f>
        <x:v>2</x:v>
      </x:c>
      <x:c r="F65" s="124" t="n">
        <x:f>COUNTIFS('مواضع الظهور'!$P$5:$P$168,$S65,'مواضع الظهور'!$G$5:$G$168,"حديثة",'مواضع الظهور'!$B$5:$B$168,"مفقود بلا مصدر")</x:f>
        <x:v>0</x:v>
      </x:c>
      <x:c r="G65" s="124" t="n">
        <x:f>SUM(E65:F65)</x:f>
        <x:v>2</x:v>
      </x:c>
      <x:c r="H65" s="62" t="str">
        <x:v>الشريعة</x:v>
      </x:c>
      <x:c r="I65" s="62" t="str">
        <x:v>بكالوريوس</x:v>
      </x:c>
      <x:c r="J65" s="99" t="str">
        <x:v>قديمة 38؛ قديمة 39</x:v>
      </x:c>
      <x:c r="K65" s="99" t="str">
        <x:v>1</x:v>
      </x:c>
      <x:c r="L65" s="99" t="str">
        <x:v>6</x:v>
      </x:c>
      <x:c r="M65" s="99" t="str">
        <x:v>إجبارية القسم</x:v>
      </x:c>
      <x:c r="N65" s="99" t="str"/>
      <x:c r="O65" s="99" t="str">
        <x:v>2002312-1.pdf</x:v>
      </x:c>
      <x:c r="P65" s="99" t="str">
        <x:v>غير متوفر</x:v>
      </x:c>
      <x:c r="Q65" s="99" t="str"/>
      <x:c r="R65" s="62" t="str"/>
      <x:c r="S65" s="122" t="str">
        <x:v>2002312-1||القرآن الكريم (6)</x:v>
      </x:c>
    </x:row>
    <x:row r="66" ht="38" customHeight="1">
      <x:c r="A66" s="124" t="n">
        <x:v>62</x:v>
      </x:c>
      <x:c r="B66" s="99" t="str">
        <x:v>2002343-2</x:v>
      </x:c>
      <x:c r="C66" s="62" t="str">
        <x:v>تفسير آيات الأحكام (3)</x:v>
      </x:c>
      <x:c r="D66" s="99" t="str">
        <x:f>IF(AND(E66&gt;0,F66&gt;0),"مشتركة بين القديمة والحديثة",IF(E66&gt;0,"قديمة فقط","حديثة فقط"))</x:f>
        <x:v>قديمة فقط</x:v>
      </x:c>
      <x:c r="E66" s="124" t="n">
        <x:f>COUNTIFS('مواضع الظهور'!$P$5:$P$168,$S66,'مواضع الظهور'!$G$5:$G$168,"قديمة",'مواضع الظهور'!$B$5:$B$168,"مفقود بلا مصدر")</x:f>
        <x:v>2</x:v>
      </x:c>
      <x:c r="F66" s="124" t="n">
        <x:f>COUNTIFS('مواضع الظهور'!$P$5:$P$168,$S66,'مواضع الظهور'!$G$5:$G$168,"حديثة",'مواضع الظهور'!$B$5:$B$168,"مفقود بلا مصدر")</x:f>
        <x:v>0</x:v>
      </x:c>
      <x:c r="G66" s="124" t="n">
        <x:f>SUM(E66:F66)</x:f>
        <x:v>2</x:v>
      </x:c>
      <x:c r="H66" s="62" t="str">
        <x:v>الشريعة</x:v>
      </x:c>
      <x:c r="I66" s="62" t="str">
        <x:v>بكالوريوس</x:v>
      </x:c>
      <x:c r="J66" s="99" t="str">
        <x:v>قديمة 38؛ قديمة 39</x:v>
      </x:c>
      <x:c r="K66" s="99" t="str">
        <x:v>2</x:v>
      </x:c>
      <x:c r="L66" s="99" t="str">
        <x:v>4</x:v>
      </x:c>
      <x:c r="M66" s="99" t="str">
        <x:v>إجبارية القسم</x:v>
      </x:c>
      <x:c r="N66" s="99" t="str"/>
      <x:c r="O66" s="99" t="str">
        <x:v>2002343-2.pdf</x:v>
      </x:c>
      <x:c r="P66" s="99" t="str">
        <x:v>غير متوفر</x:v>
      </x:c>
      <x:c r="Q66" s="99" t="str"/>
      <x:c r="R66" s="62" t="str"/>
      <x:c r="S66" s="122" t="str">
        <x:v>2002343-2||تفسير آيات الأحكام (3)</x:v>
      </x:c>
    </x:row>
    <x:row r="67" ht="38" customHeight="1">
      <x:c r="A67" s="124" t="n">
        <x:v>63</x:v>
      </x:c>
      <x:c r="B67" s="99" t="str">
        <x:v>2002352-2</x:v>
      </x:c>
      <x:c r="C67" s="62" t="str">
        <x:v>التفسير التحليلي (2)</x:v>
      </x:c>
      <x:c r="D67" s="99" t="str">
        <x:f>IF(AND(E67&gt;0,F67&gt;0),"مشتركة بين القديمة والحديثة",IF(E67&gt;0,"قديمة فقط","حديثة فقط"))</x:f>
        <x:v>حديثة فقط</x:v>
      </x:c>
      <x:c r="E67" s="124" t="n">
        <x:f>COUNTIFS('مواضع الظهور'!$P$5:$P$168,$S67,'مواضع الظهور'!$G$5:$G$168,"قديمة",'مواضع الظهور'!$B$5:$B$168,"مفقود بلا مصدر")</x:f>
        <x:v>0</x:v>
      </x:c>
      <x:c r="F67" s="124" t="n">
        <x:f>COUNTIFS('مواضع الظهور'!$P$5:$P$168,$S67,'مواضع الظهور'!$G$5:$G$168,"حديثة",'مواضع الظهور'!$B$5:$B$168,"مفقود بلا مصدر")</x:f>
        <x:v>1</x:v>
      </x:c>
      <x:c r="G67" s="124" t="n">
        <x:f>SUM(E67:F67)</x:f>
        <x:v>1</x:v>
      </x:c>
      <x:c r="H67" s="62" t="str">
        <x:v>القراءات</x:v>
      </x:c>
      <x:c r="I67" s="62" t="str">
        <x:v>بكالوريوس</x:v>
      </x:c>
      <x:c r="J67" s="99" t="str">
        <x:v>حديثة 47</x:v>
      </x:c>
      <x:c r="K67" s="99" t="str">
        <x:v>2</x:v>
      </x:c>
      <x:c r="L67" s="99" t="str">
        <x:v>4</x:v>
      </x:c>
      <x:c r="M67" s="99" t="str">
        <x:v>متطلبات الكلية</x:v>
      </x:c>
      <x:c r="N67" s="99" t="str"/>
      <x:c r="O67" s="99" t="str">
        <x:v>2002352-2.pdf</x:v>
      </x:c>
      <x:c r="P67" s="99" t="str">
        <x:v>غير متوفر</x:v>
      </x:c>
      <x:c r="Q67" s="99" t="str"/>
      <x:c r="R67" s="62" t="str"/>
      <x:c r="S67" s="122" t="str">
        <x:v>2002352-2||التفسير التحليلي (2)</x:v>
      </x:c>
    </x:row>
    <x:row r="68" ht="38" customHeight="1">
      <x:c r="A68" s="124" t="n">
        <x:v>64</x:v>
      </x:c>
      <x:c r="B68" s="99" t="str">
        <x:v>20024101-2</x:v>
      </x:c>
      <x:c r="C68" s="62" t="str">
        <x:v>قاعة بحث</x:v>
      </x:c>
      <x:c r="D68" s="99" t="str">
        <x:f>IF(AND(E68&gt;0,F68&gt;0),"مشتركة بين القديمة والحديثة",IF(E68&gt;0,"قديمة فقط","حديثة فقط"))</x:f>
        <x:v>حديثة فقط</x:v>
      </x:c>
      <x:c r="E68" s="124" t="n">
        <x:f>COUNTIFS('مواضع الظهور'!$P$5:$P$168,$S68,'مواضع الظهور'!$G$5:$G$168,"قديمة",'مواضع الظهور'!$B$5:$B$168,"مفقود بلا مصدر")</x:f>
        <x:v>0</x:v>
      </x:c>
      <x:c r="F68" s="124" t="n">
        <x:f>COUNTIFS('مواضع الظهور'!$P$5:$P$168,$S68,'مواضع الظهور'!$G$5:$G$168,"حديثة",'مواضع الظهور'!$B$5:$B$168,"مفقود بلا مصدر")</x:f>
        <x:v>1</x:v>
      </x:c>
      <x:c r="G68" s="124" t="n">
        <x:f>SUM(E68:F68)</x:f>
        <x:v>1</x:v>
      </x:c>
      <x:c r="H68" s="62" t="str">
        <x:v>القرآن وعلومه</x:v>
      </x:c>
      <x:c r="I68" s="62" t="str">
        <x:v>بكالوريوس</x:v>
      </x:c>
      <x:c r="J68" s="99" t="str">
        <x:v>حديثة 47</x:v>
      </x:c>
      <x:c r="K68" s="99" t="str">
        <x:v>2</x:v>
      </x:c>
      <x:c r="L68" s="99" t="str">
        <x:v>7</x:v>
      </x:c>
      <x:c r="M68" s="99" t="str">
        <x:v>إجبارية القسم</x:v>
      </x:c>
      <x:c r="N68" s="99" t="str"/>
      <x:c r="O68" s="99" t="str">
        <x:v>20024101-2.pdf</x:v>
      </x:c>
      <x:c r="P68" s="99" t="str">
        <x:v>غير متوفر</x:v>
      </x:c>
      <x:c r="Q68" s="99" t="str"/>
      <x:c r="R68" s="62" t="str"/>
      <x:c r="S68" s="122" t="str">
        <x:v>20024101-2||قاعة بحث</x:v>
      </x:c>
    </x:row>
    <x:row r="69" ht="38" customHeight="1">
      <x:c r="A69" s="124" t="n">
        <x:v>65</x:v>
      </x:c>
      <x:c r="B69" s="99" t="str">
        <x:v>2002411-1</x:v>
      </x:c>
      <x:c r="C69" s="62" t="str">
        <x:v>القرآن الكريم (7)</x:v>
      </x:c>
      <x:c r="D69" s="99" t="str">
        <x:f>IF(AND(E69&gt;0,F69&gt;0),"مشتركة بين القديمة والحديثة",IF(E69&gt;0,"قديمة فقط","حديثة فقط"))</x:f>
        <x:v>قديمة فقط</x:v>
      </x:c>
      <x:c r="E69" s="124" t="n">
        <x:f>COUNTIFS('مواضع الظهور'!$P$5:$P$168,$S69,'مواضع الظهور'!$G$5:$G$168,"قديمة",'مواضع الظهور'!$B$5:$B$168,"مفقود بلا مصدر")</x:f>
        <x:v>2</x:v>
      </x:c>
      <x:c r="F69" s="124" t="n">
        <x:f>COUNTIFS('مواضع الظهور'!$P$5:$P$168,$S69,'مواضع الظهور'!$G$5:$G$168,"حديثة",'مواضع الظهور'!$B$5:$B$168,"مفقود بلا مصدر")</x:f>
        <x:v>0</x:v>
      </x:c>
      <x:c r="G69" s="124" t="n">
        <x:f>SUM(E69:F69)</x:f>
        <x:v>2</x:v>
      </x:c>
      <x:c r="H69" s="62" t="str">
        <x:v>الشريعة</x:v>
      </x:c>
      <x:c r="I69" s="62" t="str">
        <x:v>بكالوريوس</x:v>
      </x:c>
      <x:c r="J69" s="99" t="str">
        <x:v>قديمة 38؛ قديمة 39</x:v>
      </x:c>
      <x:c r="K69" s="99" t="str">
        <x:v>1</x:v>
      </x:c>
      <x:c r="L69" s="99" t="str">
        <x:v>7</x:v>
      </x:c>
      <x:c r="M69" s="99" t="str">
        <x:v>إجبارية القسم</x:v>
      </x:c>
      <x:c r="N69" s="99" t="str"/>
      <x:c r="O69" s="99" t="str">
        <x:v>2002411-1.pdf</x:v>
      </x:c>
      <x:c r="P69" s="99" t="str">
        <x:v>غير متوفر</x:v>
      </x:c>
      <x:c r="Q69" s="99" t="str"/>
      <x:c r="R69" s="62" t="str"/>
      <x:c r="S69" s="122" t="str">
        <x:v>2002411-1||القرآن الكريم (7)</x:v>
      </x:c>
    </x:row>
    <x:row r="70" ht="38" customHeight="1">
      <x:c r="A70" s="124" t="n">
        <x:v>66</x:v>
      </x:c>
      <x:c r="B70" s="99" t="str">
        <x:v>2002421-1</x:v>
      </x:c>
      <x:c r="C70" s="62" t="str">
        <x:v>القرآن الكريم (8)</x:v>
      </x:c>
      <x:c r="D70" s="99" t="str">
        <x:f>IF(AND(E70&gt;0,F70&gt;0),"مشتركة بين القديمة والحديثة",IF(E70&gt;0,"قديمة فقط","حديثة فقط"))</x:f>
        <x:v>قديمة فقط</x:v>
      </x:c>
      <x:c r="E70" s="124" t="n">
        <x:f>COUNTIFS('مواضع الظهور'!$P$5:$P$168,$S70,'مواضع الظهور'!$G$5:$G$168,"قديمة",'مواضع الظهور'!$B$5:$B$168,"مفقود بلا مصدر")</x:f>
        <x:v>2</x:v>
      </x:c>
      <x:c r="F70" s="124" t="n">
        <x:f>COUNTIFS('مواضع الظهور'!$P$5:$P$168,$S70,'مواضع الظهور'!$G$5:$G$168,"حديثة",'مواضع الظهور'!$B$5:$B$168,"مفقود بلا مصدر")</x:f>
        <x:v>0</x:v>
      </x:c>
      <x:c r="G70" s="124" t="n">
        <x:f>SUM(E70:F70)</x:f>
        <x:v>2</x:v>
      </x:c>
      <x:c r="H70" s="62" t="str">
        <x:v>الشريعة</x:v>
      </x:c>
      <x:c r="I70" s="62" t="str">
        <x:v>بكالوريوس</x:v>
      </x:c>
      <x:c r="J70" s="99" t="str">
        <x:v>قديمة 38؛ قديمة 39</x:v>
      </x:c>
      <x:c r="K70" s="99" t="str">
        <x:v>1</x:v>
      </x:c>
      <x:c r="L70" s="99" t="str">
        <x:v>8</x:v>
      </x:c>
      <x:c r="M70" s="99" t="str">
        <x:v>إجبارية القسم</x:v>
      </x:c>
      <x:c r="N70" s="99" t="str"/>
      <x:c r="O70" s="99" t="str">
        <x:v>2002421-1.pdf</x:v>
      </x:c>
      <x:c r="P70" s="99" t="str">
        <x:v>غير متوفر</x:v>
      </x:c>
      <x:c r="Q70" s="99" t="str"/>
      <x:c r="R70" s="62" t="str"/>
      <x:c r="S70" s="122" t="str">
        <x:v>2002421-1||القرآن الكريم (8)</x:v>
      </x:c>
    </x:row>
    <x:row r="71" ht="38" customHeight="1">
      <x:c r="A71" s="124" t="n">
        <x:v>67</x:v>
      </x:c>
      <x:c r="B71" s="99" t="str">
        <x:v>2002460-2</x:v>
      </x:c>
      <x:c r="C71" s="62" t="str">
        <x:v>عرض القراءات الثلاث (١)</x:v>
      </x:c>
      <x:c r="D71" s="99" t="str">
        <x:f>IF(AND(E71&gt;0,F71&gt;0),"مشتركة بين القديمة والحديثة",IF(E71&gt;0,"قديمة فقط","حديثة فقط"))</x:f>
        <x:v>حديثة فقط</x:v>
      </x:c>
      <x:c r="E71" s="124" t="n">
        <x:f>COUNTIFS('مواضع الظهور'!$P$5:$P$168,$S71,'مواضع الظهور'!$G$5:$G$168,"قديمة",'مواضع الظهور'!$B$5:$B$168,"مفقود بلا مصدر")</x:f>
        <x:v>0</x:v>
      </x:c>
      <x:c r="F71" s="124" t="n">
        <x:f>COUNTIFS('مواضع الظهور'!$P$5:$P$168,$S71,'مواضع الظهور'!$G$5:$G$168,"حديثة",'مواضع الظهور'!$B$5:$B$168,"مفقود بلا مصدر")</x:f>
        <x:v>1</x:v>
      </x:c>
      <x:c r="G71" s="124" t="n">
        <x:f>SUM(E71:F71)</x:f>
        <x:v>1</x:v>
      </x:c>
      <x:c r="H71" s="62" t="str">
        <x:v>القراءات</x:v>
      </x:c>
      <x:c r="I71" s="62" t="str">
        <x:v>بكالوريوس</x:v>
      </x:c>
      <x:c r="J71" s="99" t="str">
        <x:v>حديثة 47</x:v>
      </x:c>
      <x:c r="K71" s="99" t="str">
        <x:v>2</x:v>
      </x:c>
      <x:c r="L71" s="99" t="str">
        <x:v>7</x:v>
      </x:c>
      <x:c r="M71" s="99" t="str">
        <x:v>متطلبات الكلية</x:v>
      </x:c>
      <x:c r="N71" s="99" t="str"/>
      <x:c r="O71" s="99" t="str">
        <x:v>2002460-2.pdf</x:v>
      </x:c>
      <x:c r="P71" s="99" t="str">
        <x:v>غير متوفر</x:v>
      </x:c>
      <x:c r="Q71" s="99" t="str"/>
      <x:c r="R71" s="62" t="str"/>
      <x:c r="S71" s="122" t="str">
        <x:v>2002460-2||عرض القراءات الثلاث (١)</x:v>
      </x:c>
    </x:row>
    <x:row r="72" ht="38" customHeight="1">
      <x:c r="A72" s="124" t="n">
        <x:v>68</x:v>
      </x:c>
      <x:c r="B72" s="99" t="str">
        <x:v>2002461-2</x:v>
      </x:c>
      <x:c r="C72" s="62" t="str">
        <x:v>عرض القراءات الثلاث (٢)</x:v>
      </x:c>
      <x:c r="D72" s="99" t="str">
        <x:f>IF(AND(E72&gt;0,F72&gt;0),"مشتركة بين القديمة والحديثة",IF(E72&gt;0,"قديمة فقط","حديثة فقط"))</x:f>
        <x:v>حديثة فقط</x:v>
      </x:c>
      <x:c r="E72" s="124" t="n">
        <x:f>COUNTIFS('مواضع الظهور'!$P$5:$P$168,$S72,'مواضع الظهور'!$G$5:$G$168,"قديمة",'مواضع الظهور'!$B$5:$B$168,"مفقود بلا مصدر")</x:f>
        <x:v>0</x:v>
      </x:c>
      <x:c r="F72" s="124" t="n">
        <x:f>COUNTIFS('مواضع الظهور'!$P$5:$P$168,$S72,'مواضع الظهور'!$G$5:$G$168,"حديثة",'مواضع الظهور'!$B$5:$B$168,"مفقود بلا مصدر")</x:f>
        <x:v>1</x:v>
      </x:c>
      <x:c r="G72" s="124" t="n">
        <x:f>SUM(E72:F72)</x:f>
        <x:v>1</x:v>
      </x:c>
      <x:c r="H72" s="62" t="str">
        <x:v>القراءات</x:v>
      </x:c>
      <x:c r="I72" s="62" t="str">
        <x:v>بكالوريوس</x:v>
      </x:c>
      <x:c r="J72" s="99" t="str">
        <x:v>حديثة 47</x:v>
      </x:c>
      <x:c r="K72" s="99" t="str">
        <x:v>2</x:v>
      </x:c>
      <x:c r="L72" s="99" t="str">
        <x:v>8</x:v>
      </x:c>
      <x:c r="M72" s="99" t="str">
        <x:v>متطلبات الكلية</x:v>
      </x:c>
      <x:c r="N72" s="99" t="str"/>
      <x:c r="O72" s="99" t="str">
        <x:v>2002461-2.pdf</x:v>
      </x:c>
      <x:c r="P72" s="99" t="str">
        <x:v>غير متوفر</x:v>
      </x:c>
      <x:c r="Q72" s="99" t="str"/>
      <x:c r="R72" s="62" t="str"/>
      <x:c r="S72" s="122" t="str">
        <x:v>2002461-2||عرض القراءات الثلاث (٢)</x:v>
      </x:c>
    </x:row>
    <x:row r="73" ht="38" customHeight="1">
      <x:c r="A73" s="124" t="n">
        <x:v>69</x:v>
      </x:c>
      <x:c r="B73" s="99" t="str">
        <x:v>2002703-2</x:v>
      </x:c>
      <x:c r="C73" s="62" t="str">
        <x:v>دراسات في طبقات القراء وأسانيدهم</x:v>
      </x:c>
      <x:c r="D73" s="99" t="str">
        <x:f>IF(AND(E73&gt;0,F73&gt;0),"مشتركة بين القديمة والحديثة",IF(E73&gt;0,"قديمة فقط","حديثة فقط"))</x:f>
        <x:v>حديثة فقط</x:v>
      </x:c>
      <x:c r="E73" s="124" t="n">
        <x:f>COUNTIFS('مواضع الظهور'!$P$5:$P$168,$S73,'مواضع الظهور'!$G$5:$G$168,"قديمة",'مواضع الظهور'!$B$5:$B$168,"مفقود بلا مصدر")</x:f>
        <x:v>0</x:v>
      </x:c>
      <x:c r="F73" s="124" t="n">
        <x:f>COUNTIFS('مواضع الظهور'!$P$5:$P$168,$S73,'مواضع الظهور'!$G$5:$G$168,"حديثة",'مواضع الظهور'!$B$5:$B$168,"مفقود بلا مصدر")</x:f>
        <x:v>1</x:v>
      </x:c>
      <x:c r="G73" s="124" t="n">
        <x:f>SUM(E73:F73)</x:f>
        <x:v>1</x:v>
      </x:c>
      <x:c r="H73" s="62" t="str">
        <x:v>القراءات</x:v>
      </x:c>
      <x:c r="I73" s="62" t="str">
        <x:v>دكتوراه</x:v>
      </x:c>
      <x:c r="J73" s="99" t="str">
        <x:v>حديثة 1</x:v>
      </x:c>
      <x:c r="K73" s="99" t="str">
        <x:v>2</x:v>
      </x:c>
      <x:c r="L73" s="99" t="str">
        <x:v>1</x:v>
      </x:c>
      <x:c r="M73" s="99" t="str">
        <x:v>إجبارية القسم</x:v>
      </x:c>
      <x:c r="N73" s="99" t="str"/>
      <x:c r="O73" s="99" t="str">
        <x:v>2002703-2.pdf</x:v>
      </x:c>
      <x:c r="P73" s="99" t="str">
        <x:v>غير متوفر</x:v>
      </x:c>
      <x:c r="Q73" s="99" t="str"/>
      <x:c r="R73" s="62" t="str"/>
      <x:c r="S73" s="122" t="str">
        <x:v>2002703-2||دراسات في طبقات القراء وأسانيدهم</x:v>
      </x:c>
    </x:row>
    <x:row r="74" ht="38" customHeight="1">
      <x:c r="A74" s="124" t="n">
        <x:v>70</x:v>
      </x:c>
      <x:c r="B74" s="99" t="str">
        <x:v>2003102-3</x:v>
      </x:c>
      <x:c r="C74" s="62" t="str">
        <x:v>قانون العمل والتأمينات الاجتماعية</x:v>
      </x:c>
      <x:c r="D74" s="99" t="str">
        <x:f>IF(AND(E74&gt;0,F74&gt;0),"مشتركة بين القديمة والحديثة",IF(E74&gt;0,"قديمة فقط","حديثة فقط"))</x:f>
        <x:v>حديثة فقط</x:v>
      </x:c>
      <x:c r="E74" s="124" t="n">
        <x:f>COUNTIFS('مواضع الظهور'!$P$5:$P$168,$S74,'مواضع الظهور'!$G$5:$G$168,"قديمة",'مواضع الظهور'!$B$5:$B$168,"مفقود بلا مصدر")</x:f>
        <x:v>0</x:v>
      </x:c>
      <x:c r="F74" s="124" t="n">
        <x:f>COUNTIFS('مواضع الظهور'!$P$5:$P$168,$S74,'مواضع الظهور'!$G$5:$G$168,"حديثة",'مواضع الظهور'!$B$5:$B$168,"مفقود بلا مصدر")</x:f>
        <x:v>1</x:v>
      </x:c>
      <x:c r="G74" s="124" t="n">
        <x:f>SUM(E74:F74)</x:f>
        <x:v>1</x:v>
      </x:c>
      <x:c r="H74" s="62" t="str">
        <x:v>الأنظمة</x:v>
      </x:c>
      <x:c r="I74" s="62" t="str">
        <x:v>بكالوريوس</x:v>
      </x:c>
      <x:c r="J74" s="99" t="str">
        <x:v>حديثة 47</x:v>
      </x:c>
      <x:c r="K74" s="99" t="str">
        <x:v>3</x:v>
      </x:c>
      <x:c r="L74" s="99" t="str">
        <x:v>7</x:v>
      </x:c>
      <x:c r="M74" s="99" t="str">
        <x:v>إجبارية القسم</x:v>
      </x:c>
      <x:c r="N74" s="99" t="str"/>
      <x:c r="O74" s="99" t="str">
        <x:v>2003102-3.pdf</x:v>
      </x:c>
      <x:c r="P74" s="99" t="str">
        <x:v>غير متوفر</x:v>
      </x:c>
      <x:c r="Q74" s="99" t="str"/>
      <x:c r="R74" s="62" t="str"/>
      <x:c r="S74" s="122" t="str">
        <x:v>2003102-3||قانون العمل والتأمينات الاجتماعية</x:v>
      </x:c>
    </x:row>
    <x:row r="75" ht="38" customHeight="1">
      <x:c r="A75" s="124" t="n">
        <x:v>71</x:v>
      </x:c>
      <x:c r="B75" s="99" t="str">
        <x:v>2003103-3</x:v>
      </x:c>
      <x:c r="C75" s="62" t="str">
        <x:v>الكتابة المهنية القانونية</x:v>
      </x:c>
      <x:c r="D75" s="99" t="str">
        <x:f>IF(AND(E75&gt;0,F75&gt;0),"مشتركة بين القديمة والحديثة",IF(E75&gt;0,"قديمة فقط","حديثة فقط"))</x:f>
        <x:v>حديثة فقط</x:v>
      </x:c>
      <x:c r="E75" s="124" t="n">
        <x:f>COUNTIFS('مواضع الظهور'!$P$5:$P$168,$S75,'مواضع الظهور'!$G$5:$G$168,"قديمة",'مواضع الظهور'!$B$5:$B$168,"مفقود بلا مصدر")</x:f>
        <x:v>0</x:v>
      </x:c>
      <x:c r="F75" s="124" t="n">
        <x:f>COUNTIFS('مواضع الظهور'!$P$5:$P$168,$S75,'مواضع الظهور'!$G$5:$G$168,"حديثة",'مواضع الظهور'!$B$5:$B$168,"مفقود بلا مصدر")</x:f>
        <x:v>1</x:v>
      </x:c>
      <x:c r="G75" s="124" t="n">
        <x:f>SUM(E75:F75)</x:f>
        <x:v>1</x:v>
      </x:c>
      <x:c r="H75" s="62" t="str">
        <x:v>الأنظمة</x:v>
      </x:c>
      <x:c r="I75" s="62" t="str">
        <x:v>بكالوريوس</x:v>
      </x:c>
      <x:c r="J75" s="99" t="str">
        <x:v>حديثة 47</x:v>
      </x:c>
      <x:c r="K75" s="99" t="str">
        <x:v>3</x:v>
      </x:c>
      <x:c r="L75" s="99" t="str">
        <x:v>7</x:v>
      </x:c>
      <x:c r="M75" s="99" t="str">
        <x:v>إجبارية القسم</x:v>
      </x:c>
      <x:c r="N75" s="99" t="str"/>
      <x:c r="O75" s="99" t="str">
        <x:v>2003103-3.pdf</x:v>
      </x:c>
      <x:c r="P75" s="99" t="str">
        <x:v>غير متوفر</x:v>
      </x:c>
      <x:c r="Q75" s="99" t="str"/>
      <x:c r="R75" s="62" t="str"/>
      <x:c r="S75" s="122" t="str">
        <x:v>2003103-3||الكتابة المهنية القانونية</x:v>
      </x:c>
    </x:row>
    <x:row r="76" ht="38" customHeight="1">
      <x:c r="A76" s="124" t="n">
        <x:v>72</x:v>
      </x:c>
      <x:c r="B76" s="99" t="str">
        <x:v>2003106-3</x:v>
      </x:c>
      <x:c r="C76" s="62" t="str">
        <x:v>تدريبات قانونية ١</x:v>
      </x:c>
      <x:c r="D76" s="99" t="str">
        <x:f>IF(AND(E76&gt;0,F76&gt;0),"مشتركة بين القديمة والحديثة",IF(E76&gt;0,"قديمة فقط","حديثة فقط"))</x:f>
        <x:v>حديثة فقط</x:v>
      </x:c>
      <x:c r="E76" s="124" t="n">
        <x:f>COUNTIFS('مواضع الظهور'!$P$5:$P$168,$S76,'مواضع الظهور'!$G$5:$G$168,"قديمة",'مواضع الظهور'!$B$5:$B$168,"مفقود بلا مصدر")</x:f>
        <x:v>0</x:v>
      </x:c>
      <x:c r="F76" s="124" t="n">
        <x:f>COUNTIFS('مواضع الظهور'!$P$5:$P$168,$S76,'مواضع الظهور'!$G$5:$G$168,"حديثة",'مواضع الظهور'!$B$5:$B$168,"مفقود بلا مصدر")</x:f>
        <x:v>1</x:v>
      </x:c>
      <x:c r="G76" s="124" t="n">
        <x:f>SUM(E76:F76)</x:f>
        <x:v>1</x:v>
      </x:c>
      <x:c r="H76" s="62" t="str">
        <x:v>الأنظمة</x:v>
      </x:c>
      <x:c r="I76" s="62" t="str">
        <x:v>بكالوريوس</x:v>
      </x:c>
      <x:c r="J76" s="99" t="str">
        <x:v>حديثة 47</x:v>
      </x:c>
      <x:c r="K76" s="99" t="str">
        <x:v>3</x:v>
      </x:c>
      <x:c r="L76" s="99" t="str">
        <x:v>7</x:v>
      </x:c>
      <x:c r="M76" s="99" t="str">
        <x:v>إجبارية القسم</x:v>
      </x:c>
      <x:c r="N76" s="99" t="str"/>
      <x:c r="O76" s="99" t="str">
        <x:v>2003106-3.pdf</x:v>
      </x:c>
      <x:c r="P76" s="99" t="str">
        <x:v>غير متوفر</x:v>
      </x:c>
      <x:c r="Q76" s="99" t="str"/>
      <x:c r="R76" s="62" t="str"/>
      <x:c r="S76" s="122" t="str">
        <x:v>2003106-3||تدريبات قانونية ١</x:v>
      </x:c>
    </x:row>
    <x:row r="77" ht="38" customHeight="1">
      <x:c r="A77" s="124" t="n">
        <x:v>73</x:v>
      </x:c>
      <x:c r="B77" s="99" t="str">
        <x:v>2003107-3</x:v>
      </x:c>
      <x:c r="C77" s="62" t="str">
        <x:v>تدريبات قانونية ٢</x:v>
      </x:c>
      <x:c r="D77" s="99" t="str">
        <x:f>IF(AND(E77&gt;0,F77&gt;0),"مشتركة بين القديمة والحديثة",IF(E77&gt;0,"قديمة فقط","حديثة فقط"))</x:f>
        <x:v>حديثة فقط</x:v>
      </x:c>
      <x:c r="E77" s="124" t="n">
        <x:f>COUNTIFS('مواضع الظهور'!$P$5:$P$168,$S77,'مواضع الظهور'!$G$5:$G$168,"قديمة",'مواضع الظهور'!$B$5:$B$168,"مفقود بلا مصدر")</x:f>
        <x:v>0</x:v>
      </x:c>
      <x:c r="F77" s="124" t="n">
        <x:f>COUNTIFS('مواضع الظهور'!$P$5:$P$168,$S77,'مواضع الظهور'!$G$5:$G$168,"حديثة",'مواضع الظهور'!$B$5:$B$168,"مفقود بلا مصدر")</x:f>
        <x:v>1</x:v>
      </x:c>
      <x:c r="G77" s="124" t="n">
        <x:f>SUM(E77:F77)</x:f>
        <x:v>1</x:v>
      </x:c>
      <x:c r="H77" s="62" t="str">
        <x:v>الأنظمة</x:v>
      </x:c>
      <x:c r="I77" s="62" t="str">
        <x:v>بكالوريوس</x:v>
      </x:c>
      <x:c r="J77" s="99" t="str">
        <x:v>حديثة 47</x:v>
      </x:c>
      <x:c r="K77" s="99" t="str">
        <x:v>3</x:v>
      </x:c>
      <x:c r="L77" s="99" t="str">
        <x:v>8</x:v>
      </x:c>
      <x:c r="M77" s="99" t="str">
        <x:v>إجبارية القسم</x:v>
      </x:c>
      <x:c r="N77" s="99" t="str"/>
      <x:c r="O77" s="99" t="str">
        <x:v>2003107-3.pdf</x:v>
      </x:c>
      <x:c r="P77" s="99" t="str">
        <x:v>غير متوفر</x:v>
      </x:c>
      <x:c r="Q77" s="99" t="str"/>
      <x:c r="R77" s="62" t="str"/>
      <x:c r="S77" s="122" t="str">
        <x:v>2003107-3||تدريبات قانونية ٢</x:v>
      </x:c>
    </x:row>
    <x:row r="78" ht="38" customHeight="1">
      <x:c r="A78" s="124" t="n">
        <x:v>74</x:v>
      </x:c>
      <x:c r="B78" s="99" t="str">
        <x:v>2003108-2</x:v>
      </x:c>
      <x:c r="C78" s="62" t="str">
        <x:v>قانون التحكيم</x:v>
      </x:c>
      <x:c r="D78" s="99" t="str">
        <x:f>IF(AND(E78&gt;0,F78&gt;0),"مشتركة بين القديمة والحديثة",IF(E78&gt;0,"قديمة فقط","حديثة فقط"))</x:f>
        <x:v>حديثة فقط</x:v>
      </x:c>
      <x:c r="E78" s="124" t="n">
        <x:f>COUNTIFS('مواضع الظهور'!$P$5:$P$168,$S78,'مواضع الظهور'!$G$5:$G$168,"قديمة",'مواضع الظهور'!$B$5:$B$168,"مفقود بلا مصدر")</x:f>
        <x:v>0</x:v>
      </x:c>
      <x:c r="F78" s="124" t="n">
        <x:f>COUNTIFS('مواضع الظهور'!$P$5:$P$168,$S78,'مواضع الظهور'!$G$5:$G$168,"حديثة",'مواضع الظهور'!$B$5:$B$168,"مفقود بلا مصدر")</x:f>
        <x:v>1</x:v>
      </x:c>
      <x:c r="G78" s="124" t="n">
        <x:f>SUM(E78:F78)</x:f>
        <x:v>1</x:v>
      </x:c>
      <x:c r="H78" s="62" t="str">
        <x:v>الأنظمة</x:v>
      </x:c>
      <x:c r="I78" s="62" t="str">
        <x:v>بكالوريوس</x:v>
      </x:c>
      <x:c r="J78" s="99" t="str">
        <x:v>حديثة 47</x:v>
      </x:c>
      <x:c r="K78" s="99" t="str">
        <x:v>2</x:v>
      </x:c>
      <x:c r="L78" s="99" t="str">
        <x:v>8</x:v>
      </x:c>
      <x:c r="M78" s="99" t="str">
        <x:v>إجبارية القسم</x:v>
      </x:c>
      <x:c r="N78" s="99" t="str"/>
      <x:c r="O78" s="99" t="str">
        <x:v>2003108-2.pdf</x:v>
      </x:c>
      <x:c r="P78" s="99" t="str">
        <x:v>غير متوفر</x:v>
      </x:c>
      <x:c r="Q78" s="99" t="str"/>
      <x:c r="R78" s="62" t="str"/>
      <x:c r="S78" s="122" t="str">
        <x:v>2003108-2||قانون التحكيم</x:v>
      </x:c>
    </x:row>
    <x:row r="79" ht="38" customHeight="1">
      <x:c r="A79" s="124" t="n">
        <x:v>75</x:v>
      </x:c>
      <x:c r="B79" s="99" t="str">
        <x:v>2003114-3</x:v>
      </x:c>
      <x:c r="C79" s="62" t="str">
        <x:v>القانون الدستوري</x:v>
      </x:c>
      <x:c r="D79" s="99" t="str">
        <x:f>IF(AND(E79&gt;0,F79&gt;0),"مشتركة بين القديمة والحديثة",IF(E79&gt;0,"قديمة فقط","حديثة فقط"))</x:f>
        <x:v>حديثة فقط</x:v>
      </x:c>
      <x:c r="E79" s="124" t="n">
        <x:f>COUNTIFS('مواضع الظهور'!$P$5:$P$168,$S79,'مواضع الظهور'!$G$5:$G$168,"قديمة",'مواضع الظهور'!$B$5:$B$168,"مفقود بلا مصدر")</x:f>
        <x:v>0</x:v>
      </x:c>
      <x:c r="F79" s="124" t="n">
        <x:f>COUNTIFS('مواضع الظهور'!$P$5:$P$168,$S79,'مواضع الظهور'!$G$5:$G$168,"حديثة",'مواضع الظهور'!$B$5:$B$168,"مفقود بلا مصدر")</x:f>
        <x:v>1</x:v>
      </x:c>
      <x:c r="G79" s="124" t="n">
        <x:f>SUM(E79:F79)</x:f>
        <x:v>1</x:v>
      </x:c>
      <x:c r="H79" s="62" t="str">
        <x:v>الأنظمة</x:v>
      </x:c>
      <x:c r="I79" s="62" t="str">
        <x:v>بكالوريوس</x:v>
      </x:c>
      <x:c r="J79" s="99" t="str">
        <x:v>حديثة 47</x:v>
      </x:c>
      <x:c r="K79" s="99" t="str">
        <x:v>3</x:v>
      </x:c>
      <x:c r="L79" s="99" t="str">
        <x:v>1</x:v>
      </x:c>
      <x:c r="M79" s="99" t="str">
        <x:v>متطلبات الكلية</x:v>
      </x:c>
      <x:c r="N79" s="99" t="str"/>
      <x:c r="O79" s="99" t="str">
        <x:v>2003114-3.pdf</x:v>
      </x:c>
      <x:c r="P79" s="99" t="str">
        <x:v>غير متوفر</x:v>
      </x:c>
      <x:c r="Q79" s="99" t="str"/>
      <x:c r="R79" s="62" t="str"/>
      <x:c r="S79" s="122" t="str">
        <x:v>2003114-3||القانون الدستوري</x:v>
      </x:c>
    </x:row>
    <x:row r="80" ht="38" customHeight="1">
      <x:c r="A80" s="124" t="n">
        <x:v>76</x:v>
      </x:c>
      <x:c r="B80" s="99" t="str">
        <x:v>2003204-3</x:v>
      </x:c>
      <x:c r="C80" s="62" t="str">
        <x:v>الكاديمية القانونية الكتابة</x:v>
      </x:c>
      <x:c r="D80" s="99" t="str">
        <x:f>IF(AND(E80&gt;0,F80&gt;0),"مشتركة بين القديمة والحديثة",IF(E80&gt;0,"قديمة فقط","حديثة فقط"))</x:f>
        <x:v>حديثة فقط</x:v>
      </x:c>
      <x:c r="E80" s="124" t="n">
        <x:f>COUNTIFS('مواضع الظهور'!$P$5:$P$168,$S80,'مواضع الظهور'!$G$5:$G$168,"قديمة",'مواضع الظهور'!$B$5:$B$168,"مفقود بلا مصدر")</x:f>
        <x:v>0</x:v>
      </x:c>
      <x:c r="F80" s="124" t="n">
        <x:f>COUNTIFS('مواضع الظهور'!$P$5:$P$168,$S80,'مواضع الظهور'!$G$5:$G$168,"حديثة",'مواضع الظهور'!$B$5:$B$168,"مفقود بلا مصدر")</x:f>
        <x:v>1</x:v>
      </x:c>
      <x:c r="G80" s="124" t="n">
        <x:f>SUM(E80:F80)</x:f>
        <x:v>1</x:v>
      </x:c>
      <x:c r="H80" s="62" t="str">
        <x:v>الأنظمة</x:v>
      </x:c>
      <x:c r="I80" s="62" t="str">
        <x:v>بكالوريوس</x:v>
      </x:c>
      <x:c r="J80" s="99" t="str">
        <x:v>حديثة 47</x:v>
      </x:c>
      <x:c r="K80" s="99" t="str">
        <x:v>3</x:v>
      </x:c>
      <x:c r="L80" s="99" t="str">
        <x:v>6</x:v>
      </x:c>
      <x:c r="M80" s="99" t="str">
        <x:v>إجبارية القسم</x:v>
      </x:c>
      <x:c r="N80" s="99" t="str"/>
      <x:c r="O80" s="99" t="str">
        <x:v>2003204-3.pdf</x:v>
      </x:c>
      <x:c r="P80" s="99" t="str">
        <x:v>غير متوفر</x:v>
      </x:c>
      <x:c r="Q80" s="99" t="str"/>
      <x:c r="R80" s="62" t="str"/>
      <x:c r="S80" s="122" t="str">
        <x:v>2003204-3||الكاديمية القانونية الكتابة</x:v>
      </x:c>
    </x:row>
    <x:row r="81" ht="38" customHeight="1">
      <x:c r="A81" s="124" t="n">
        <x:v>77</x:v>
      </x:c>
      <x:c r="B81" s="99" t="str">
        <x:v>2003205-3</x:v>
      </x:c>
      <x:c r="C81" s="62" t="str">
        <x:v>العقود التجارية الدولية</x:v>
      </x:c>
      <x:c r="D81" s="99" t="str">
        <x:f>IF(AND(E81&gt;0,F81&gt;0),"مشتركة بين القديمة والحديثة",IF(E81&gt;0,"قديمة فقط","حديثة فقط"))</x:f>
        <x:v>حديثة فقط</x:v>
      </x:c>
      <x:c r="E81" s="124" t="n">
        <x:f>COUNTIFS('مواضع الظهور'!$P$5:$P$168,$S81,'مواضع الظهور'!$G$5:$G$168,"قديمة",'مواضع الظهور'!$B$5:$B$168,"مفقود بلا مصدر")</x:f>
        <x:v>0</x:v>
      </x:c>
      <x:c r="F81" s="124" t="n">
        <x:f>COUNTIFS('مواضع الظهور'!$P$5:$P$168,$S81,'مواضع الظهور'!$G$5:$G$168,"حديثة",'مواضع الظهور'!$B$5:$B$168,"مفقود بلا مصدر")</x:f>
        <x:v>1</x:v>
      </x:c>
      <x:c r="G81" s="124" t="n">
        <x:f>SUM(E81:F81)</x:f>
        <x:v>1</x:v>
      </x:c>
      <x:c r="H81" s="62" t="str">
        <x:v>الأنظمة</x:v>
      </x:c>
      <x:c r="I81" s="62" t="str">
        <x:v>بكالوريوس</x:v>
      </x:c>
      <x:c r="J81" s="99" t="str">
        <x:v>حديثة 47</x:v>
      </x:c>
      <x:c r="K81" s="99" t="str">
        <x:v>3</x:v>
      </x:c>
      <x:c r="L81" s="99" t="str">
        <x:v>6</x:v>
      </x:c>
      <x:c r="M81" s="99" t="str">
        <x:v>إجبارية القسم</x:v>
      </x:c>
      <x:c r="N81" s="99" t="str"/>
      <x:c r="O81" s="99" t="str">
        <x:v>2003205-3.pdf</x:v>
      </x:c>
      <x:c r="P81" s="99" t="str">
        <x:v>غير متوفر</x:v>
      </x:c>
      <x:c r="Q81" s="99" t="str"/>
      <x:c r="R81" s="62" t="str"/>
      <x:c r="S81" s="122" t="str">
        <x:v>2003205-3||العقود التجارية الدولية</x:v>
      </x:c>
    </x:row>
    <x:row r="82" ht="38" customHeight="1">
      <x:c r="A82" s="124" t="n">
        <x:v>78</x:v>
      </x:c>
      <x:c r="B82" s="99" t="str">
        <x:v>2003220-2</x:v>
      </x:c>
      <x:c r="C82" s="62" t="str">
        <x:v>المدخل لدراسة الأنظمة</x:v>
      </x:c>
      <x:c r="D82" s="99" t="str">
        <x:f>IF(AND(E82&gt;0,F82&gt;0),"مشتركة بين القديمة والحديثة",IF(E82&gt;0,"قديمة فقط","حديثة فقط"))</x:f>
        <x:v>مشتركة بين القديمة والحديثة</x:v>
      </x:c>
      <x:c r="E82" s="124" t="n">
        <x:f>COUNTIFS('مواضع الظهور'!$P$5:$P$168,$S82,'مواضع الظهور'!$G$5:$G$168,"قديمة",'مواضع الظهور'!$B$5:$B$168,"مفقود بلا مصدر")</x:f>
        <x:v>2</x:v>
      </x:c>
      <x:c r="F82" s="124" t="n">
        <x:f>COUNTIFS('مواضع الظهور'!$P$5:$P$168,$S82,'مواضع الظهور'!$G$5:$G$168,"حديثة",'مواضع الظهور'!$B$5:$B$168,"مفقود بلا مصدر")</x:f>
        <x:v>1</x:v>
      </x:c>
      <x:c r="G82" s="124" t="n">
        <x:f>SUM(E82:F82)</x:f>
        <x:v>3</x:v>
      </x:c>
      <x:c r="H82" s="62" t="str">
        <x:v>الدراسات الإسلامية؛ القرآن وعلومه</x:v>
      </x:c>
      <x:c r="I82" s="62" t="str">
        <x:v>بكالوريوس</x:v>
      </x:c>
      <x:c r="J82" s="99" t="str">
        <x:v>قديمة 39؛ حديثة 47</x:v>
      </x:c>
      <x:c r="K82" s="99" t="str">
        <x:v>2</x:v>
      </x:c>
      <x:c r="L82" s="99" t="str">
        <x:v>3؛ 4</x:v>
      </x:c>
      <x:c r="M82" s="99" t="str">
        <x:v>إجبارية القسم</x:v>
      </x:c>
      <x:c r="N82" s="99" t="str"/>
      <x:c r="O82" s="99" t="str">
        <x:v>2003220-2.pdf</x:v>
      </x:c>
      <x:c r="P82" s="99" t="str">
        <x:v>غير متوفر</x:v>
      </x:c>
      <x:c r="Q82" s="99" t="str"/>
      <x:c r="R82" s="62" t="str"/>
      <x:c r="S82" s="122" t="str">
        <x:v>2003220-2||المدخل لدراسة الأنظمة</x:v>
      </x:c>
    </x:row>
    <x:row r="83" ht="38" customHeight="1">
      <x:c r="A83" s="124" t="n">
        <x:v>79</x:v>
      </x:c>
      <x:c r="B83" s="99" t="str">
        <x:v>20032202-2</x:v>
      </x:c>
      <x:c r="C83" s="62" t="str">
        <x:v>المدخل إلى دراسة الأنظمة</x:v>
      </x:c>
      <x:c r="D83" s="99" t="str">
        <x:f>IF(AND(E83&gt;0,F83&gt;0),"مشتركة بين القديمة والحديثة",IF(E83&gt;0,"قديمة فقط","حديثة فقط"))</x:f>
        <x:v>قديمة فقط</x:v>
      </x:c>
      <x:c r="E83" s="124" t="n">
        <x:f>COUNTIFS('مواضع الظهور'!$P$5:$P$168,$S83,'مواضع الظهور'!$G$5:$G$168,"قديمة",'مواضع الظهور'!$B$5:$B$168,"مفقود بلا مصدر")</x:f>
        <x:v>1</x:v>
      </x:c>
      <x:c r="F83" s="124" t="n">
        <x:f>COUNTIFS('مواضع الظهور'!$P$5:$P$168,$S83,'مواضع الظهور'!$G$5:$G$168,"حديثة",'مواضع الظهور'!$B$5:$B$168,"مفقود بلا مصدر")</x:f>
        <x:v>0</x:v>
      </x:c>
      <x:c r="G83" s="124" t="n">
        <x:f>SUM(E83:F83)</x:f>
        <x:v>1</x:v>
      </x:c>
      <x:c r="H83" s="62" t="str">
        <x:v>الشريعة</x:v>
      </x:c>
      <x:c r="I83" s="62" t="str">
        <x:v>بكالوريوس</x:v>
      </x:c>
      <x:c r="J83" s="99" t="str">
        <x:v>قديمة 39</x:v>
      </x:c>
      <x:c r="K83" s="99" t="str">
        <x:v>2</x:v>
      </x:c>
      <x:c r="L83" s="99" t="str">
        <x:v>4</x:v>
      </x:c>
      <x:c r="M83" s="99" t="str">
        <x:v>إجبارية القسم</x:v>
      </x:c>
      <x:c r="N83" s="99" t="str"/>
      <x:c r="O83" s="99" t="str">
        <x:v>20032202-2.pdf</x:v>
      </x:c>
      <x:c r="P83" s="99" t="str">
        <x:v>غير متوفر</x:v>
      </x:c>
      <x:c r="Q83" s="99" t="str"/>
      <x:c r="R83" s="62" t="str"/>
      <x:c r="S83" s="122" t="str">
        <x:v>20032202-2||المدخل إلى دراسة الأنظمة</x:v>
      </x:c>
    </x:row>
    <x:row r="84" ht="38" customHeight="1">
      <x:c r="A84" s="124" t="n">
        <x:v>80</x:v>
      </x:c>
      <x:c r="B84" s="99" t="str">
        <x:v>2003228-3</x:v>
      </x:c>
      <x:c r="C84" s="62" t="str">
        <x:v>القانون المالي</x:v>
      </x:c>
      <x:c r="D84" s="99" t="str">
        <x:f>IF(AND(E84&gt;0,F84&gt;0),"مشتركة بين القديمة والحديثة",IF(E84&gt;0,"قديمة فقط","حديثة فقط"))</x:f>
        <x:v>حديثة فقط</x:v>
      </x:c>
      <x:c r="E84" s="124" t="n">
        <x:f>COUNTIFS('مواضع الظهور'!$P$5:$P$168,$S84,'مواضع الظهور'!$G$5:$G$168,"قديمة",'مواضع الظهور'!$B$5:$B$168,"مفقود بلا مصدر")</x:f>
        <x:v>0</x:v>
      </x:c>
      <x:c r="F84" s="124" t="n">
        <x:f>COUNTIFS('مواضع الظهور'!$P$5:$P$168,$S84,'مواضع الظهور'!$G$5:$G$168,"حديثة",'مواضع الظهور'!$B$5:$B$168,"مفقود بلا مصدر")</x:f>
        <x:v>1</x:v>
      </x:c>
      <x:c r="G84" s="124" t="n">
        <x:f>SUM(E84:F84)</x:f>
        <x:v>1</x:v>
      </x:c>
      <x:c r="H84" s="62" t="str">
        <x:v>الأنظمة</x:v>
      </x:c>
      <x:c r="I84" s="62" t="str">
        <x:v>بكالوريوس</x:v>
      </x:c>
      <x:c r="J84" s="99" t="str">
        <x:v>حديثة 47</x:v>
      </x:c>
      <x:c r="K84" s="99" t="str">
        <x:v>3</x:v>
      </x:c>
      <x:c r="L84" s="99" t="str">
        <x:v>4</x:v>
      </x:c>
      <x:c r="M84" s="99" t="str">
        <x:v>إجبارية القسم</x:v>
      </x:c>
      <x:c r="N84" s="99" t="str"/>
      <x:c r="O84" s="99" t="str">
        <x:v>2003228-3.pdf</x:v>
      </x:c>
      <x:c r="P84" s="99" t="str">
        <x:v>غير متوفر</x:v>
      </x:c>
      <x:c r="Q84" s="99" t="str"/>
      <x:c r="R84" s="62" t="str"/>
      <x:c r="S84" s="122" t="str">
        <x:v>2003228-3||القانون المالي</x:v>
      </x:c>
    </x:row>
    <x:row r="85" ht="38" customHeight="1">
      <x:c r="A85" s="124" t="n">
        <x:v>81</x:v>
      </x:c>
      <x:c r="B85" s="99" t="str">
        <x:v>2003229-3</x:v>
      </x:c>
      <x:c r="C85" s="62" t="str">
        <x:v>تحليل النصوص القانونية</x:v>
      </x:c>
      <x:c r="D85" s="99" t="str">
        <x:f>IF(AND(E85&gt;0,F85&gt;0),"مشتركة بين القديمة والحديثة",IF(E85&gt;0,"قديمة فقط","حديثة فقط"))</x:f>
        <x:v>حديثة فقط</x:v>
      </x:c>
      <x:c r="E85" s="124" t="n">
        <x:f>COUNTIFS('مواضع الظهور'!$P$5:$P$168,$S85,'مواضع الظهور'!$G$5:$G$168,"قديمة",'مواضع الظهور'!$B$5:$B$168,"مفقود بلا مصدر")</x:f>
        <x:v>0</x:v>
      </x:c>
      <x:c r="F85" s="124" t="n">
        <x:f>COUNTIFS('مواضع الظهور'!$P$5:$P$168,$S85,'مواضع الظهور'!$G$5:$G$168,"حديثة",'مواضع الظهور'!$B$5:$B$168,"مفقود بلا مصدر")</x:f>
        <x:v>1</x:v>
      </x:c>
      <x:c r="G85" s="124" t="n">
        <x:f>SUM(E85:F85)</x:f>
        <x:v>1</x:v>
      </x:c>
      <x:c r="H85" s="62" t="str">
        <x:v>الأنظمة</x:v>
      </x:c>
      <x:c r="I85" s="62" t="str">
        <x:v>بكالوريوس</x:v>
      </x:c>
      <x:c r="J85" s="99" t="str">
        <x:v>حديثة 47</x:v>
      </x:c>
      <x:c r="K85" s="99" t="str">
        <x:v>3</x:v>
      </x:c>
      <x:c r="L85" s="99" t="str">
        <x:v>4</x:v>
      </x:c>
      <x:c r="M85" s="99" t="str">
        <x:v>إجبارية القسم</x:v>
      </x:c>
      <x:c r="N85" s="99" t="str"/>
      <x:c r="O85" s="99" t="str">
        <x:v>2003229-3.pdf</x:v>
      </x:c>
      <x:c r="P85" s="99" t="str">
        <x:v>غير متوفر</x:v>
      </x:c>
      <x:c r="Q85" s="99" t="str"/>
      <x:c r="R85" s="62" t="str"/>
      <x:c r="S85" s="122" t="str">
        <x:v>2003229-3||تحليل النصوص القانونية</x:v>
      </x:c>
    </x:row>
    <x:row r="86" ht="38" customHeight="1">
      <x:c r="A86" s="124" t="n">
        <x:v>82</x:v>
      </x:c>
      <x:c r="B86" s="99" t="str">
        <x:v>2003243-2</x:v>
      </x:c>
      <x:c r="C86" s="62" t="str">
        <x:v>مبادئ القانون الإداري</x:v>
      </x:c>
      <x:c r="D86" s="99" t="str">
        <x:f>IF(AND(E86&gt;0,F86&gt;0),"مشتركة بين القديمة والحديثة",IF(E86&gt;0,"قديمة فقط","حديثة فقط"))</x:f>
        <x:v>قديمة فقط</x:v>
      </x:c>
      <x:c r="E86" s="124" t="n">
        <x:f>COUNTIFS('مواضع الظهور'!$P$5:$P$168,$S86,'مواضع الظهور'!$G$5:$G$168,"قديمة",'مواضع الظهور'!$B$5:$B$168,"مفقود بلا مصدر")</x:f>
        <x:v>1</x:v>
      </x:c>
      <x:c r="F86" s="124" t="n">
        <x:f>COUNTIFS('مواضع الظهور'!$P$5:$P$168,$S86,'مواضع الظهور'!$G$5:$G$168,"حديثة",'مواضع الظهور'!$B$5:$B$168,"مفقود بلا مصدر")</x:f>
        <x:v>0</x:v>
      </x:c>
      <x:c r="G86" s="124" t="n">
        <x:f>SUM(E86:F86)</x:f>
        <x:v>1</x:v>
      </x:c>
      <x:c r="H86" s="62" t="str">
        <x:v>الشريعة</x:v>
      </x:c>
      <x:c r="I86" s="62" t="str">
        <x:v>بكالوريوس</x:v>
      </x:c>
      <x:c r="J86" s="99" t="str">
        <x:v>قديمة 38</x:v>
      </x:c>
      <x:c r="K86" s="99" t="str">
        <x:v>2</x:v>
      </x:c>
      <x:c r="L86" s="99" t="str">
        <x:v>6</x:v>
      </x:c>
      <x:c r="M86" s="99" t="str">
        <x:v>إجبارية القسم</x:v>
      </x:c>
      <x:c r="N86" s="99" t="str"/>
      <x:c r="O86" s="99" t="str">
        <x:v>2003243-2.pdf</x:v>
      </x:c>
      <x:c r="P86" s="99" t="str">
        <x:v>غير متوفر</x:v>
      </x:c>
      <x:c r="Q86" s="99" t="str"/>
      <x:c r="R86" s="62" t="str"/>
      <x:c r="S86" s="122" t="str">
        <x:v>2003243-2||مبادئ القانون الإداري</x:v>
      </x:c>
    </x:row>
    <x:row r="87" ht="38" customHeight="1">
      <x:c r="A87" s="124" t="n">
        <x:v>83</x:v>
      </x:c>
      <x:c r="B87" s="99" t="str">
        <x:v>2003255-3</x:v>
      </x:c>
      <x:c r="C87" s="62" t="str">
        <x:v>الملكية الفكرية</x:v>
      </x:c>
      <x:c r="D87" s="99" t="str">
        <x:f>IF(AND(E87&gt;0,F87&gt;0),"مشتركة بين القديمة والحديثة",IF(E87&gt;0,"قديمة فقط","حديثة فقط"))</x:f>
        <x:v>قديمة فقط</x:v>
      </x:c>
      <x:c r="E87" s="124" t="n">
        <x:f>COUNTIFS('مواضع الظهور'!$P$5:$P$168,$S87,'مواضع الظهور'!$G$5:$G$168,"قديمة",'مواضع الظهور'!$B$5:$B$168,"مفقود بلا مصدر")</x:f>
        <x:v>1</x:v>
      </x:c>
      <x:c r="F87" s="124" t="n">
        <x:f>COUNTIFS('مواضع الظهور'!$P$5:$P$168,$S87,'مواضع الظهور'!$G$5:$G$168,"حديثة",'مواضع الظهور'!$B$5:$B$168,"مفقود بلا مصدر")</x:f>
        <x:v>0</x:v>
      </x:c>
      <x:c r="G87" s="124" t="n">
        <x:f>SUM(E87:F87)</x:f>
        <x:v>1</x:v>
      </x:c>
      <x:c r="H87" s="62" t="str">
        <x:v>الأنظمة</x:v>
      </x:c>
      <x:c r="I87" s="62" t="str">
        <x:v>بكالوريوس</x:v>
      </x:c>
      <x:c r="J87" s="99" t="str">
        <x:v>قديمة 38</x:v>
      </x:c>
      <x:c r="K87" s="99" t="str">
        <x:v>2</x:v>
      </x:c>
      <x:c r="L87" s="99" t="str">
        <x:v>6</x:v>
      </x:c>
      <x:c r="M87" s="99" t="str">
        <x:v>إجبارية القسم</x:v>
      </x:c>
      <x:c r="N87" s="99" t="str">
        <x:v>ساعات الخطة 2 ولا تؤخذ من لاحقة الرمز -3</x:v>
      </x:c>
      <x:c r="O87" s="99" t="str">
        <x:v>2003255-3.pdf</x:v>
      </x:c>
      <x:c r="P87" s="99" t="str">
        <x:v>غير متوفر</x:v>
      </x:c>
      <x:c r="Q87" s="99" t="str"/>
      <x:c r="R87" s="62" t="str"/>
      <x:c r="S87" s="122" t="str">
        <x:v>2003255-3||الملكية الفكرية</x:v>
      </x:c>
    </x:row>
    <x:row r="88" ht="38" customHeight="1">
      <x:c r="A88" s="124" t="n">
        <x:v>84</x:v>
      </x:c>
      <x:c r="B88" s="99" t="str">
        <x:v>20033201-2</x:v>
      </x:c>
      <x:c r="C88" s="62" t="str">
        <x:v>القانون الدبلوماسي والقنصلي</x:v>
      </x:c>
      <x:c r="D88" s="99" t="str">
        <x:f>IF(AND(E88&gt;0,F88&gt;0),"مشتركة بين القديمة والحديثة",IF(E88&gt;0,"قديمة فقط","حديثة فقط"))</x:f>
        <x:v>حديثة فقط</x:v>
      </x:c>
      <x:c r="E88" s="124" t="n">
        <x:f>COUNTIFS('مواضع الظهور'!$P$5:$P$168,$S88,'مواضع الظهور'!$G$5:$G$168,"قديمة",'مواضع الظهور'!$B$5:$B$168,"مفقود بلا مصدر")</x:f>
        <x:v>0</x:v>
      </x:c>
      <x:c r="F88" s="124" t="n">
        <x:f>COUNTIFS('مواضع الظهور'!$P$5:$P$168,$S88,'مواضع الظهور'!$G$5:$G$168,"حديثة",'مواضع الظهور'!$B$5:$B$168,"مفقود بلا مصدر")</x:f>
        <x:v>1</x:v>
      </x:c>
      <x:c r="G88" s="124" t="n">
        <x:f>SUM(E88:F88)</x:f>
        <x:v>1</x:v>
      </x:c>
      <x:c r="H88" s="62" t="str">
        <x:v>الأنظمة</x:v>
      </x:c>
      <x:c r="I88" s="62" t="str">
        <x:v>بكالوريوس</x:v>
      </x:c>
      <x:c r="J88" s="99" t="str">
        <x:v>حديثة 47</x:v>
      </x:c>
      <x:c r="K88" s="99" t="str">
        <x:v>2</x:v>
      </x:c>
      <x:c r="L88" s="99" t="str">
        <x:v>6</x:v>
      </x:c>
      <x:c r="M88" s="99" t="str">
        <x:v>اختيارية القسم</x:v>
      </x:c>
      <x:c r="N88" s="99" t="str"/>
      <x:c r="O88" s="99" t="str">
        <x:v>20033201-2.pdf</x:v>
      </x:c>
      <x:c r="P88" s="99" t="str">
        <x:v>غير متوفر</x:v>
      </x:c>
      <x:c r="Q88" s="99" t="str"/>
      <x:c r="R88" s="62" t="str"/>
      <x:c r="S88" s="122" t="str">
        <x:v>20033201-2||القانون الدبلوماسي والقنصلي</x:v>
      </x:c>
    </x:row>
    <x:row r="89" ht="38" customHeight="1">
      <x:c r="A89" s="124" t="n">
        <x:v>85</x:v>
      </x:c>
      <x:c r="B89" s="99" t="str">
        <x:v>2003325-1</x:v>
      </x:c>
      <x:c r="C89" s="62" t="str">
        <x:v>نظام المرافعات الشرعية</x:v>
      </x:c>
      <x:c r="D89" s="99" t="str">
        <x:f>IF(AND(E89&gt;0,F89&gt;0),"مشتركة بين القديمة والحديثة",IF(E89&gt;0,"قديمة فقط","حديثة فقط"))</x:f>
        <x:v>قديمة فقط</x:v>
      </x:c>
      <x:c r="E89" s="124" t="n">
        <x:f>COUNTIFS('مواضع الظهور'!$P$5:$P$168,$S89,'مواضع الظهور'!$G$5:$G$168,"قديمة",'مواضع الظهور'!$B$5:$B$168,"مفقود بلا مصدر")</x:f>
        <x:v>2</x:v>
      </x:c>
      <x:c r="F89" s="124" t="n">
        <x:f>COUNTIFS('مواضع الظهور'!$P$5:$P$168,$S89,'مواضع الظهور'!$G$5:$G$168,"حديثة",'مواضع الظهور'!$B$5:$B$168,"مفقود بلا مصدر")</x:f>
        <x:v>0</x:v>
      </x:c>
      <x:c r="G89" s="124" t="n">
        <x:f>SUM(E89:F89)</x:f>
        <x:v>2</x:v>
      </x:c>
      <x:c r="H89" s="62" t="str">
        <x:v>الشريعة</x:v>
      </x:c>
      <x:c r="I89" s="62" t="str">
        <x:v>بكالوريوس</x:v>
      </x:c>
      <x:c r="J89" s="99" t="str">
        <x:v>قديمة 38؛ قديمة 39</x:v>
      </x:c>
      <x:c r="K89" s="99" t="str">
        <x:v>1</x:v>
      </x:c>
      <x:c r="L89" s="99" t="str">
        <x:v>6</x:v>
      </x:c>
      <x:c r="M89" s="99" t="str">
        <x:v>إجبارية القسم</x:v>
      </x:c>
      <x:c r="N89" s="99" t="str"/>
      <x:c r="O89" s="99" t="str">
        <x:v>2003325-1.pdf</x:v>
      </x:c>
      <x:c r="P89" s="99" t="str">
        <x:v>غير متوفر</x:v>
      </x:c>
      <x:c r="Q89" s="99" t="str"/>
      <x:c r="R89" s="62" t="str"/>
      <x:c r="S89" s="122" t="str">
        <x:v>2003325-1||نظام المرافعات الشرعية</x:v>
      </x:c>
    </x:row>
    <x:row r="90" ht="38" customHeight="1">
      <x:c r="A90" s="124" t="n">
        <x:v>86</x:v>
      </x:c>
      <x:c r="B90" s="99" t="str">
        <x:v>2003328-1</x:v>
      </x:c>
      <x:c r="C90" s="62" t="str">
        <x:v>نظام الإجراءات الجزائية</x:v>
      </x:c>
      <x:c r="D90" s="99" t="str">
        <x:f>IF(AND(E90&gt;0,F90&gt;0),"مشتركة بين القديمة والحديثة",IF(E90&gt;0,"قديمة فقط","حديثة فقط"))</x:f>
        <x:v>قديمة فقط</x:v>
      </x:c>
      <x:c r="E90" s="124" t="n">
        <x:f>COUNTIFS('مواضع الظهور'!$P$5:$P$168,$S90,'مواضع الظهور'!$G$5:$G$168,"قديمة",'مواضع الظهور'!$B$5:$B$168,"مفقود بلا مصدر")</x:f>
        <x:v>2</x:v>
      </x:c>
      <x:c r="F90" s="124" t="n">
        <x:f>COUNTIFS('مواضع الظهور'!$P$5:$P$168,$S90,'مواضع الظهور'!$G$5:$G$168,"حديثة",'مواضع الظهور'!$B$5:$B$168,"مفقود بلا مصدر")</x:f>
        <x:v>0</x:v>
      </x:c>
      <x:c r="G90" s="124" t="n">
        <x:f>SUM(E90:F90)</x:f>
        <x:v>2</x:v>
      </x:c>
      <x:c r="H90" s="62" t="str">
        <x:v>الشريعة</x:v>
      </x:c>
      <x:c r="I90" s="62" t="str">
        <x:v>بكالوريوس</x:v>
      </x:c>
      <x:c r="J90" s="99" t="str">
        <x:v>قديمة 38؛ قديمة 39</x:v>
      </x:c>
      <x:c r="K90" s="99" t="str">
        <x:v>1</x:v>
      </x:c>
      <x:c r="L90" s="99" t="str">
        <x:v>6</x:v>
      </x:c>
      <x:c r="M90" s="99" t="str">
        <x:v>إجبارية القسم</x:v>
      </x:c>
      <x:c r="N90" s="99" t="str"/>
      <x:c r="O90" s="99" t="str">
        <x:v>2003328-1.pdf</x:v>
      </x:c>
      <x:c r="P90" s="99" t="str">
        <x:v>غير متوفر</x:v>
      </x:c>
      <x:c r="Q90" s="99" t="str"/>
      <x:c r="R90" s="62" t="str"/>
      <x:c r="S90" s="122" t="str">
        <x:v>2003328-1||نظام الإجراءات الجزائية</x:v>
      </x:c>
    </x:row>
    <x:row r="91" ht="38" customHeight="1">
      <x:c r="A91" s="124" t="n">
        <x:v>87</x:v>
      </x:c>
      <x:c r="B91" s="99" t="str">
        <x:v>2003383-3</x:v>
      </x:c>
      <x:c r="C91" s="62" t="str">
        <x:v>المحاماة وأخلاقيات المهنة</x:v>
      </x:c>
      <x:c r="D91" s="99" t="str">
        <x:f>IF(AND(E91&gt;0,F91&gt;0),"مشتركة بين القديمة والحديثة",IF(E91&gt;0,"قديمة فقط","حديثة فقط"))</x:f>
        <x:v>حديثة فقط</x:v>
      </x:c>
      <x:c r="E91" s="124" t="n">
        <x:f>COUNTIFS('مواضع الظهور'!$P$5:$P$168,$S91,'مواضع الظهور'!$G$5:$G$168,"قديمة",'مواضع الظهور'!$B$5:$B$168,"مفقود بلا مصدر")</x:f>
        <x:v>0</x:v>
      </x:c>
      <x:c r="F91" s="124" t="n">
        <x:f>COUNTIFS('مواضع الظهور'!$P$5:$P$168,$S91,'مواضع الظهور'!$G$5:$G$168,"حديثة",'مواضع الظهور'!$B$5:$B$168,"مفقود بلا مصدر")</x:f>
        <x:v>1</x:v>
      </x:c>
      <x:c r="G91" s="124" t="n">
        <x:f>SUM(E91:F91)</x:f>
        <x:v>1</x:v>
      </x:c>
      <x:c r="H91" s="62" t="str">
        <x:v>الأنظمة</x:v>
      </x:c>
      <x:c r="I91" s="62" t="str">
        <x:v>بكالوريوس</x:v>
      </x:c>
      <x:c r="J91" s="99" t="str">
        <x:v>حديثة 47</x:v>
      </x:c>
      <x:c r="K91" s="99" t="str">
        <x:v>3</x:v>
      </x:c>
      <x:c r="L91" s="99" t="str">
        <x:v>5</x:v>
      </x:c>
      <x:c r="M91" s="99" t="str">
        <x:v>إجبارية القسم</x:v>
      </x:c>
      <x:c r="N91" s="99" t="str"/>
      <x:c r="O91" s="99" t="str">
        <x:v>2003383-3.pdf</x:v>
      </x:c>
      <x:c r="P91" s="99" t="str">
        <x:v>غير متوفر</x:v>
      </x:c>
      <x:c r="Q91" s="99" t="str"/>
      <x:c r="R91" s="62" t="str"/>
      <x:c r="S91" s="122" t="str">
        <x:v>2003383-3||المحاماة وأخلاقيات المهنة</x:v>
      </x:c>
    </x:row>
    <x:row r="92" ht="38" customHeight="1">
      <x:c r="A92" s="124" t="n">
        <x:v>88</x:v>
      </x:c>
      <x:c r="B92" s="99" t="str">
        <x:v>2003402-2</x:v>
      </x:c>
      <x:c r="C92" s="62" t="str">
        <x:v>مادة اختيارية للقسم</x:v>
      </x:c>
      <x:c r="D92" s="99" t="str">
        <x:f>IF(AND(E92&gt;0,F92&gt;0),"مشتركة بين القديمة والحديثة",IF(E92&gt;0,"قديمة فقط","حديثة فقط"))</x:f>
        <x:v>قديمة فقط</x:v>
      </x:c>
      <x:c r="E92" s="124" t="n">
        <x:f>COUNTIFS('مواضع الظهور'!$P$5:$P$168,$S92,'مواضع الظهور'!$G$5:$G$168,"قديمة",'مواضع الظهور'!$B$5:$B$168,"مفقود بلا مصدر")</x:f>
        <x:v>1</x:v>
      </x:c>
      <x:c r="F92" s="124" t="n">
        <x:f>COUNTIFS('مواضع الظهور'!$P$5:$P$168,$S92,'مواضع الظهور'!$G$5:$G$168,"حديثة",'مواضع الظهور'!$B$5:$B$168,"مفقود بلا مصدر")</x:f>
        <x:v>0</x:v>
      </x:c>
      <x:c r="G92" s="124" t="n">
        <x:f>SUM(E92:F92)</x:f>
        <x:v>1</x:v>
      </x:c>
      <x:c r="H92" s="62" t="str">
        <x:v>الأنظمة</x:v>
      </x:c>
      <x:c r="I92" s="62" t="str">
        <x:v>بكالوريوس</x:v>
      </x:c>
      <x:c r="J92" s="99" t="str">
        <x:v>قديمة 38</x:v>
      </x:c>
      <x:c r="K92" s="99" t="str">
        <x:v>2</x:v>
      </x:c>
      <x:c r="L92" s="99" t="str">
        <x:v>7</x:v>
      </x:c>
      <x:c r="M92" s="99" t="str">
        <x:v>اختيارية القسم</x:v>
      </x:c>
      <x:c r="N92" s="99" t="str"/>
      <x:c r="O92" s="99" t="str">
        <x:v>2003402-2.pdf</x:v>
      </x:c>
      <x:c r="P92" s="99" t="str">
        <x:v>غير متوفر</x:v>
      </x:c>
      <x:c r="Q92" s="99" t="str"/>
      <x:c r="R92" s="62" t="str"/>
      <x:c r="S92" s="122" t="str">
        <x:v>2003402-2||مادة اختيارية للقسم</x:v>
      </x:c>
    </x:row>
    <x:row r="93" ht="38" customHeight="1">
      <x:c r="A93" s="124" t="n">
        <x:v>89</x:v>
      </x:c>
      <x:c r="B93" s="99" t="str">
        <x:v>20034202-2</x:v>
      </x:c>
      <x:c r="C93" s="62" t="str">
        <x:v>القانون الصحي</x:v>
      </x:c>
      <x:c r="D93" s="99" t="str">
        <x:f>IF(AND(E93&gt;0,F93&gt;0),"مشتركة بين القديمة والحديثة",IF(E93&gt;0,"قديمة فقط","حديثة فقط"))</x:f>
        <x:v>حديثة فقط</x:v>
      </x:c>
      <x:c r="E93" s="124" t="n">
        <x:f>COUNTIFS('مواضع الظهور'!$P$5:$P$168,$S93,'مواضع الظهور'!$G$5:$G$168,"قديمة",'مواضع الظهور'!$B$5:$B$168,"مفقود بلا مصدر")</x:f>
        <x:v>0</x:v>
      </x:c>
      <x:c r="F93" s="124" t="n">
        <x:f>COUNTIFS('مواضع الظهور'!$P$5:$P$168,$S93,'مواضع الظهور'!$G$5:$G$168,"حديثة",'مواضع الظهور'!$B$5:$B$168,"مفقود بلا مصدر")</x:f>
        <x:v>1</x:v>
      </x:c>
      <x:c r="G93" s="124" t="n">
        <x:f>SUM(E93:F93)</x:f>
        <x:v>1</x:v>
      </x:c>
      <x:c r="H93" s="62" t="str">
        <x:v>الأنظمة</x:v>
      </x:c>
      <x:c r="I93" s="62" t="str">
        <x:v>بكالوريوس</x:v>
      </x:c>
      <x:c r="J93" s="99" t="str">
        <x:v>حديثة 47</x:v>
      </x:c>
      <x:c r="K93" s="99" t="str">
        <x:v>2</x:v>
      </x:c>
      <x:c r="L93" s="99" t="str">
        <x:v>8</x:v>
      </x:c>
      <x:c r="M93" s="99" t="str">
        <x:v>اختيارية القسم</x:v>
      </x:c>
      <x:c r="N93" s="99" t="str"/>
      <x:c r="O93" s="99" t="str">
        <x:v>20034202-2.pdf</x:v>
      </x:c>
      <x:c r="P93" s="99" t="str">
        <x:v>غير متوفر</x:v>
      </x:c>
      <x:c r="Q93" s="99" t="str"/>
      <x:c r="R93" s="62" t="str"/>
      <x:c r="S93" s="122" t="str">
        <x:v>20034202-2||القانون الصحي</x:v>
      </x:c>
    </x:row>
    <x:row r="94" ht="38" customHeight="1">
      <x:c r="A94" s="124" t="n">
        <x:v>90</x:v>
      </x:c>
      <x:c r="B94" s="99" t="str">
        <x:v>2003880-2</x:v>
      </x:c>
      <x:c r="C94" s="62" t="str">
        <x:v>الأنظمة العدلية في السعودية</x:v>
      </x:c>
      <x:c r="D94" s="99" t="str">
        <x:f>IF(AND(E94&gt;0,F94&gt;0),"مشتركة بين القديمة والحديثة",IF(E94&gt;0,"قديمة فقط","حديثة فقط"))</x:f>
        <x:v>حديثة فقط</x:v>
      </x:c>
      <x:c r="E94" s="124" t="n">
        <x:f>COUNTIFS('مواضع الظهور'!$P$5:$P$168,$S94,'مواضع الظهور'!$G$5:$G$168,"قديمة",'مواضع الظهور'!$B$5:$B$168,"مفقود بلا مصدر")</x:f>
        <x:v>0</x:v>
      </x:c>
      <x:c r="F94" s="124" t="n">
        <x:f>COUNTIFS('مواضع الظهور'!$P$5:$P$168,$S94,'مواضع الظهور'!$G$5:$G$168,"حديثة",'مواضع الظهور'!$B$5:$B$168,"مفقود بلا مصدر")</x:f>
        <x:v>1</x:v>
      </x:c>
      <x:c r="G94" s="124" t="n">
        <x:f>SUM(E94:F94)</x:f>
        <x:v>1</x:v>
      </x:c>
      <x:c r="H94" s="62" t="str">
        <x:v>الفقه</x:v>
      </x:c>
      <x:c r="I94" s="62" t="str">
        <x:v>ماجستير</x:v>
      </x:c>
      <x:c r="J94" s="99" t="str">
        <x:v>حديثة 1</x:v>
      </x:c>
      <x:c r="K94" s="99" t="str">
        <x:v>2</x:v>
      </x:c>
      <x:c r="L94" s="99" t="str">
        <x:v>3</x:v>
      </x:c>
      <x:c r="M94" s="99" t="str">
        <x:v>إجبارية القسم</x:v>
      </x:c>
      <x:c r="N94" s="99" t="str"/>
      <x:c r="O94" s="99" t="str">
        <x:v>2003880-2.pdf</x:v>
      </x:c>
      <x:c r="P94" s="99" t="str">
        <x:v>غير متوفر</x:v>
      </x:c>
      <x:c r="Q94" s="99" t="str"/>
      <x:c r="R94" s="62" t="str"/>
      <x:c r="S94" s="122" t="str">
        <x:v>2003880-2||الأنظمة العدلية في السعودية</x:v>
      </x:c>
    </x:row>
    <x:row r="95" ht="38" customHeight="1">
      <x:c r="A95" s="124" t="n">
        <x:v>91</x:v>
      </x:c>
      <x:c r="B95" s="99" t="str">
        <x:v>2004102-2</x:v>
      </x:c>
      <x:c r="C95" s="62" t="str">
        <x:v>مصطلح الحديث</x:v>
      </x:c>
      <x:c r="D95" s="99" t="str">
        <x:f>IF(AND(E95&gt;0,F95&gt;0),"مشتركة بين القديمة والحديثة",IF(E95&gt;0,"قديمة فقط","حديثة فقط"))</x:f>
        <x:v>حديثة فقط</x:v>
      </x:c>
      <x:c r="E95" s="124" t="n">
        <x:f>COUNTIFS('مواضع الظهور'!$P$5:$P$168,$S95,'مواضع الظهور'!$G$5:$G$168,"قديمة",'مواضع الظهور'!$B$5:$B$168,"مفقود بلا مصدر")</x:f>
        <x:v>0</x:v>
      </x:c>
      <x:c r="F95" s="124" t="n">
        <x:f>COUNTIFS('مواضع الظهور'!$P$5:$P$168,$S95,'مواضع الظهور'!$G$5:$G$168,"حديثة",'مواضع الظهور'!$B$5:$B$168,"مفقود بلا مصدر")</x:f>
        <x:v>2</x:v>
      </x:c>
      <x:c r="G95" s="124" t="n">
        <x:f>SUM(E95:F95)</x:f>
        <x:v>2</x:v>
      </x:c>
      <x:c r="H95" s="62" t="str">
        <x:v>القرآن وعلومه؛ القراءات</x:v>
      </x:c>
      <x:c r="I95" s="62" t="str">
        <x:v>بكالوريوس</x:v>
      </x:c>
      <x:c r="J95" s="99" t="str">
        <x:v>حديثة 47</x:v>
      </x:c>
      <x:c r="K95" s="99" t="str">
        <x:v>2</x:v>
      </x:c>
      <x:c r="L95" s="99" t="str">
        <x:v>2؛ 3</x:v>
      </x:c>
      <x:c r="M95" s="99" t="str">
        <x:v>متطلبات الكلية</x:v>
      </x:c>
      <x:c r="N95" s="99" t="str"/>
      <x:c r="O95" s="99" t="str">
        <x:v>2004102-2.pdf</x:v>
      </x:c>
      <x:c r="P95" s="99" t="str">
        <x:v>غير متوفر</x:v>
      </x:c>
      <x:c r="Q95" s="99" t="str"/>
      <x:c r="R95" s="62" t="str"/>
      <x:c r="S95" s="122" t="str">
        <x:v>2004102-2||مصطلح الحديث</x:v>
      </x:c>
    </x:row>
    <x:row r="96" ht="38" customHeight="1">
      <x:c r="A96" s="124" t="n">
        <x:v>92</x:v>
      </x:c>
      <x:c r="B96" s="99" t="str">
        <x:v>20041201-2</x:v>
      </x:c>
      <x:c r="C96" s="62" t="str">
        <x:v>التجويد</x:v>
      </x:c>
      <x:c r="D96" s="99" t="str">
        <x:f>IF(AND(E96&gt;0,F96&gt;0),"مشتركة بين القديمة والحديثة",IF(E96&gt;0,"قديمة فقط","حديثة فقط"))</x:f>
        <x:v>قديمة فقط</x:v>
      </x:c>
      <x:c r="E96" s="124" t="n">
        <x:f>COUNTIFS('مواضع الظهور'!$P$5:$P$168,$S96,'مواضع الظهور'!$G$5:$G$168,"قديمة",'مواضع الظهور'!$B$5:$B$168,"مفقود بلا مصدر")</x:f>
        <x:v>1</x:v>
      </x:c>
      <x:c r="F96" s="124" t="n">
        <x:f>COUNTIFS('مواضع الظهور'!$P$5:$P$168,$S96,'مواضع الظهور'!$G$5:$G$168,"حديثة",'مواضع الظهور'!$B$5:$B$168,"مفقود بلا مصدر")</x:f>
        <x:v>0</x:v>
      </x:c>
      <x:c r="G96" s="124" t="n">
        <x:f>SUM(E96:F96)</x:f>
        <x:v>1</x:v>
      </x:c>
      <x:c r="H96" s="62" t="str">
        <x:v>الدراسات الإسلامية</x:v>
      </x:c>
      <x:c r="I96" s="62" t="str">
        <x:v>بكالوريوس</x:v>
      </x:c>
      <x:c r="J96" s="99" t="str">
        <x:v>قديمة 39</x:v>
      </x:c>
      <x:c r="K96" s="99" t="str">
        <x:v>2</x:v>
      </x:c>
      <x:c r="L96" s="99" t="str">
        <x:v>2</x:v>
      </x:c>
      <x:c r="M96" s="99" t="str">
        <x:v>إجبارية القسم</x:v>
      </x:c>
      <x:c r="N96" s="99" t="str"/>
      <x:c r="O96" s="99" t="str">
        <x:v>20041201-2.pdf</x:v>
      </x:c>
      <x:c r="P96" s="99" t="str">
        <x:v>غير متوفر</x:v>
      </x:c>
      <x:c r="Q96" s="99" t="str"/>
      <x:c r="R96" s="62" t="str"/>
      <x:c r="S96" s="122" t="str">
        <x:v>20041201-2||التجويد</x:v>
      </x:c>
    </x:row>
    <x:row r="97" ht="38" customHeight="1">
      <x:c r="A97" s="124" t="n">
        <x:v>93</x:v>
      </x:c>
      <x:c r="B97" s="99" t="str">
        <x:v>20041203-2</x:v>
      </x:c>
      <x:c r="C97" s="62" t="str">
        <x:v>التفسير التحليلي (1)</x:v>
      </x:c>
      <x:c r="D97" s="99" t="str">
        <x:f>IF(AND(E97&gt;0,F97&gt;0),"مشتركة بين القديمة والحديثة",IF(E97&gt;0,"قديمة فقط","حديثة فقط"))</x:f>
        <x:v>قديمة فقط</x:v>
      </x:c>
      <x:c r="E97" s="124" t="n">
        <x:f>COUNTIFS('مواضع الظهور'!$P$5:$P$168,$S97,'مواضع الظهور'!$G$5:$G$168,"قديمة",'مواضع الظهور'!$B$5:$B$168,"مفقود بلا مصدر")</x:f>
        <x:v>1</x:v>
      </x:c>
      <x:c r="F97" s="124" t="n">
        <x:f>COUNTIFS('مواضع الظهور'!$P$5:$P$168,$S97,'مواضع الظهور'!$G$5:$G$168,"حديثة",'مواضع الظهور'!$B$5:$B$168,"مفقود بلا مصدر")</x:f>
        <x:v>0</x:v>
      </x:c>
      <x:c r="G97" s="124" t="n">
        <x:f>SUM(E97:F97)</x:f>
        <x:v>1</x:v>
      </x:c>
      <x:c r="H97" s="62" t="str">
        <x:v>الدراسات الإسلامية</x:v>
      </x:c>
      <x:c r="I97" s="62" t="str">
        <x:v>بكالوريوس</x:v>
      </x:c>
      <x:c r="J97" s="99" t="str">
        <x:v>قديمة 39</x:v>
      </x:c>
      <x:c r="K97" s="99" t="str">
        <x:v>2</x:v>
      </x:c>
      <x:c r="L97" s="99" t="str">
        <x:v>2</x:v>
      </x:c>
      <x:c r="M97" s="99" t="str">
        <x:v>إجبارية القسم</x:v>
      </x:c>
      <x:c r="N97" s="99" t="str"/>
      <x:c r="O97" s="99" t="str">
        <x:v>20041203-2.pdf</x:v>
      </x:c>
      <x:c r="P97" s="99" t="str">
        <x:v>غير متوفر</x:v>
      </x:c>
      <x:c r="Q97" s="99" t="str"/>
      <x:c r="R97" s="62" t="str"/>
      <x:c r="S97" s="122" t="str">
        <x:v>20041203-2||التفسير التحليلي (1)</x:v>
      </x:c>
    </x:row>
    <x:row r="98" ht="38" customHeight="1">
      <x:c r="A98" s="124" t="n">
        <x:v>94</x:v>
      </x:c>
      <x:c r="B98" s="99" t="str">
        <x:v>2004205-2</x:v>
      </x:c>
      <x:c r="C98" s="62" t="str">
        <x:v>الحديث (1)</x:v>
      </x:c>
      <x:c r="D98" s="99" t="str">
        <x:f>IF(AND(E98&gt;0,F98&gt;0),"مشتركة بين القديمة والحديثة",IF(E98&gt;0,"قديمة فقط","حديثة فقط"))</x:f>
        <x:v>حديثة فقط</x:v>
      </x:c>
      <x:c r="E98" s="124" t="n">
        <x:f>COUNTIFS('مواضع الظهور'!$P$5:$P$168,$S98,'مواضع الظهور'!$G$5:$G$168,"قديمة",'مواضع الظهور'!$B$5:$B$168,"مفقود بلا مصدر")</x:f>
        <x:v>0</x:v>
      </x:c>
      <x:c r="F98" s="124" t="n">
        <x:f>COUNTIFS('مواضع الظهور'!$P$5:$P$168,$S98,'مواضع الظهور'!$G$5:$G$168,"حديثة",'مواضع الظهور'!$B$5:$B$168,"مفقود بلا مصدر")</x:f>
        <x:v>2</x:v>
      </x:c>
      <x:c r="G98" s="124" t="n">
        <x:f>SUM(E98:F98)</x:f>
        <x:v>2</x:v>
      </x:c>
      <x:c r="H98" s="62" t="str">
        <x:v>القرآن وعلومه؛ القراءات</x:v>
      </x:c>
      <x:c r="I98" s="62" t="str">
        <x:v>بكالوريوس</x:v>
      </x:c>
      <x:c r="J98" s="99" t="str">
        <x:v>حديثة 47</x:v>
      </x:c>
      <x:c r="K98" s="99" t="str">
        <x:v>2</x:v>
      </x:c>
      <x:c r="L98" s="99" t="str">
        <x:v>3؛ 4</x:v>
      </x:c>
      <x:c r="M98" s="99" t="str">
        <x:v>متطلبات الكلية</x:v>
      </x:c>
      <x:c r="N98" s="99" t="str"/>
      <x:c r="O98" s="99" t="str">
        <x:v>2004205-2.pdf</x:v>
      </x:c>
      <x:c r="P98" s="99" t="str">
        <x:v>غير متوفر</x:v>
      </x:c>
      <x:c r="Q98" s="99" t="str"/>
      <x:c r="R98" s="62" t="str"/>
      <x:c r="S98" s="122" t="str">
        <x:v>2004205-2||الحديث (1)</x:v>
      </x:c>
    </x:row>
    <x:row r="99" ht="38" customHeight="1">
      <x:c r="A99" s="124" t="n">
        <x:v>95</x:v>
      </x:c>
      <x:c r="B99" s="99" t="str">
        <x:v>2004209-2</x:v>
      </x:c>
      <x:c r="C99" s="62" t="str">
        <x:v>الحديث (2)</x:v>
      </x:c>
      <x:c r="D99" s="99" t="str">
        <x:f>IF(AND(E99&gt;0,F99&gt;0),"مشتركة بين القديمة والحديثة",IF(E99&gt;0,"قديمة فقط","حديثة فقط"))</x:f>
        <x:v>حديثة فقط</x:v>
      </x:c>
      <x:c r="E99" s="124" t="n">
        <x:f>COUNTIFS('مواضع الظهور'!$P$5:$P$168,$S99,'مواضع الظهور'!$G$5:$G$168,"قديمة",'مواضع الظهور'!$B$5:$B$168,"مفقود بلا مصدر")</x:f>
        <x:v>0</x:v>
      </x:c>
      <x:c r="F99" s="124" t="n">
        <x:f>COUNTIFS('مواضع الظهور'!$P$5:$P$168,$S99,'مواضع الظهور'!$G$5:$G$168,"حديثة",'مواضع الظهور'!$B$5:$B$168,"مفقود بلا مصدر")</x:f>
        <x:v>2</x:v>
      </x:c>
      <x:c r="G99" s="124" t="n">
        <x:f>SUM(E99:F99)</x:f>
        <x:v>2</x:v>
      </x:c>
      <x:c r="H99" s="62" t="str">
        <x:v>القرآن وعلومه؛ القراءات</x:v>
      </x:c>
      <x:c r="I99" s="62" t="str">
        <x:v>بكالوريوس</x:v>
      </x:c>
      <x:c r="J99" s="99" t="str">
        <x:v>حديثة 47</x:v>
      </x:c>
      <x:c r="K99" s="99" t="str">
        <x:v>2</x:v>
      </x:c>
      <x:c r="L99" s="99" t="str">
        <x:v>4؛ 5</x:v>
      </x:c>
      <x:c r="M99" s="99" t="str">
        <x:v>متطلبات الكلية</x:v>
      </x:c>
      <x:c r="N99" s="99" t="str"/>
      <x:c r="O99" s="99" t="str">
        <x:v>2004209-2.pdf</x:v>
      </x:c>
      <x:c r="P99" s="99" t="str">
        <x:v>غير متوفر</x:v>
      </x:c>
      <x:c r="Q99" s="99" t="str"/>
      <x:c r="R99" s="62" t="str"/>
      <x:c r="S99" s="122" t="str">
        <x:v>2004209-2||الحديث (2)</x:v>
      </x:c>
    </x:row>
    <x:row r="100" ht="38" customHeight="1">
      <x:c r="A100" s="124" t="n">
        <x:v>96</x:v>
      </x:c>
      <x:c r="B100" s="99" t="str">
        <x:v>2004211-4</x:v>
      </x:c>
      <x:c r="C100" s="62" t="str">
        <x:v>العقيدة (1)</x:v>
      </x:c>
      <x:c r="D100" s="99" t="str">
        <x:f>IF(AND(E100&gt;0,F100&gt;0),"مشتركة بين القديمة والحديثة",IF(E100&gt;0,"قديمة فقط","حديثة فقط"))</x:f>
        <x:v>حديثة فقط</x:v>
      </x:c>
      <x:c r="E100" s="124" t="n">
        <x:f>COUNTIFS('مواضع الظهور'!$P$5:$P$168,$S100,'مواضع الظهور'!$G$5:$G$168,"قديمة",'مواضع الظهور'!$B$5:$B$168,"مفقود بلا مصدر")</x:f>
        <x:v>0</x:v>
      </x:c>
      <x:c r="F100" s="124" t="n">
        <x:f>COUNTIFS('مواضع الظهور'!$P$5:$P$168,$S100,'مواضع الظهور'!$G$5:$G$168,"حديثة",'مواضع الظهور'!$B$5:$B$168,"مفقود بلا مصدر")</x:f>
        <x:v>1</x:v>
      </x:c>
      <x:c r="G100" s="124" t="n">
        <x:f>SUM(E100:F100)</x:f>
        <x:v>1</x:v>
      </x:c>
      <x:c r="H100" s="62" t="str">
        <x:v>الدراسات الإسلامية</x:v>
      </x:c>
      <x:c r="I100" s="62" t="str">
        <x:v>بكالوريوس</x:v>
      </x:c>
      <x:c r="J100" s="99" t="str">
        <x:v>حديثة 47</x:v>
      </x:c>
      <x:c r="K100" s="99" t="str">
        <x:v>4</x:v>
      </x:c>
      <x:c r="L100" s="99" t="str">
        <x:v>2</x:v>
      </x:c>
      <x:c r="M100" s="99" t="str">
        <x:v>إجبارية القسم</x:v>
      </x:c>
      <x:c r="N100" s="99" t="str"/>
      <x:c r="O100" s="99" t="str">
        <x:v>2004211-4.pdf</x:v>
      </x:c>
      <x:c r="P100" s="99" t="str">
        <x:v>غير متوفر</x:v>
      </x:c>
      <x:c r="Q100" s="99" t="str"/>
      <x:c r="R100" s="62" t="str"/>
      <x:c r="S100" s="122" t="str">
        <x:v>2004211-4||العقيدة (1)</x:v>
      </x:c>
    </x:row>
    <x:row r="101" ht="38" customHeight="1">
      <x:c r="A101" s="124" t="n">
        <x:v>97</x:v>
      </x:c>
      <x:c r="B101" s="99" t="str">
        <x:v>20042111-2</x:v>
      </x:c>
      <x:c r="C101" s="62" t="str">
        <x:v>العقيدة (٢)</x:v>
      </x:c>
      <x:c r="D101" s="99" t="str">
        <x:f>IF(AND(E101&gt;0,F101&gt;0),"مشتركة بين القديمة والحديثة",IF(E101&gt;0,"قديمة فقط","حديثة فقط"))</x:f>
        <x:v>حديثة فقط</x:v>
      </x:c>
      <x:c r="E101" s="124" t="n">
        <x:f>COUNTIFS('مواضع الظهور'!$P$5:$P$168,$S101,'مواضع الظهور'!$G$5:$G$168,"قديمة",'مواضع الظهور'!$B$5:$B$168,"مفقود بلا مصدر")</x:f>
        <x:v>0</x:v>
      </x:c>
      <x:c r="F101" s="124" t="n">
        <x:f>COUNTIFS('مواضع الظهور'!$P$5:$P$168,$S101,'مواضع الظهور'!$G$5:$G$168,"حديثة",'مواضع الظهور'!$B$5:$B$168,"مفقود بلا مصدر")</x:f>
        <x:v>1</x:v>
      </x:c>
      <x:c r="G101" s="124" t="n">
        <x:f>SUM(E101:F101)</x:f>
        <x:v>1</x:v>
      </x:c>
      <x:c r="H101" s="62" t="str">
        <x:v>الدراسات الإسلامية</x:v>
      </x:c>
      <x:c r="I101" s="62" t="str">
        <x:v>بكالوريوس</x:v>
      </x:c>
      <x:c r="J101" s="99" t="str">
        <x:v>حديثة 47</x:v>
      </x:c>
      <x:c r="K101" s="99" t="str">
        <x:v>2</x:v>
      </x:c>
      <x:c r="L101" s="99" t="str">
        <x:v>3</x:v>
      </x:c>
      <x:c r="M101" s="99" t="str">
        <x:v>إجبارية القسم</x:v>
      </x:c>
      <x:c r="N101" s="99" t="str"/>
      <x:c r="O101" s="99" t="str">
        <x:v>20042111-2.pdf</x:v>
      </x:c>
      <x:c r="P101" s="99" t="str">
        <x:v>غير متوفر</x:v>
      </x:c>
      <x:c r="Q101" s="99" t="str"/>
      <x:c r="R101" s="62" t="str"/>
      <x:c r="S101" s="122" t="str">
        <x:v>20042111-2||العقيدة (٢)</x:v>
      </x:c>
    </x:row>
    <x:row r="102" ht="38" customHeight="1">
      <x:c r="A102" s="124" t="n">
        <x:v>98</x:v>
      </x:c>
      <x:c r="B102" s="99" t="str">
        <x:v>2004252-4</x:v>
      </x:c>
      <x:c r="C102" s="62" t="str">
        <x:v>الحديث التحليلي (1)</x:v>
      </x:c>
      <x:c r="D102" s="99" t="str">
        <x:f>IF(AND(E102&gt;0,F102&gt;0),"مشتركة بين القديمة والحديثة",IF(E102&gt;0,"قديمة فقط","حديثة فقط"))</x:f>
        <x:v>حديثة فقط</x:v>
      </x:c>
      <x:c r="E102" s="124" t="n">
        <x:f>COUNTIFS('مواضع الظهور'!$P$5:$P$168,$S102,'مواضع الظهور'!$G$5:$G$168,"قديمة",'مواضع الظهور'!$B$5:$B$168,"مفقود بلا مصدر")</x:f>
        <x:v>0</x:v>
      </x:c>
      <x:c r="F102" s="124" t="n">
        <x:f>COUNTIFS('مواضع الظهور'!$P$5:$P$168,$S102,'مواضع الظهور'!$G$5:$G$168,"حديثة",'مواضع الظهور'!$B$5:$B$168,"مفقود بلا مصدر")</x:f>
        <x:v>1</x:v>
      </x:c>
      <x:c r="G102" s="124" t="n">
        <x:f>SUM(E102:F102)</x:f>
        <x:v>1</x:v>
      </x:c>
      <x:c r="H102" s="62" t="str">
        <x:v>الدراسات الإسلامية</x:v>
      </x:c>
      <x:c r="I102" s="62" t="str">
        <x:v>بكالوريوس</x:v>
      </x:c>
      <x:c r="J102" s="99" t="str">
        <x:v>حديثة 47</x:v>
      </x:c>
      <x:c r="K102" s="99" t="str">
        <x:v>4</x:v>
      </x:c>
      <x:c r="L102" s="99" t="str">
        <x:v>1</x:v>
      </x:c>
      <x:c r="M102" s="99" t="str">
        <x:v>إجبارية القسم</x:v>
      </x:c>
      <x:c r="N102" s="99" t="str"/>
      <x:c r="O102" s="99" t="str">
        <x:v>2004252-4.pdf</x:v>
      </x:c>
      <x:c r="P102" s="99" t="str">
        <x:v>غير متوفر</x:v>
      </x:c>
      <x:c r="Q102" s="99" t="str"/>
      <x:c r="R102" s="62" t="str"/>
      <x:c r="S102" s="122" t="str">
        <x:v>2004252-4||الحديث التحليلي (1)</x:v>
      </x:c>
    </x:row>
    <x:row r="103" ht="38" customHeight="1">
      <x:c r="A103" s="124" t="n">
        <x:v>99</x:v>
      </x:c>
      <x:c r="B103" s="99" t="str">
        <x:v>2004256-2</x:v>
      </x:c>
      <x:c r="C103" s="62" t="str">
        <x:v>الحديث التحليلي (٢)</x:v>
      </x:c>
      <x:c r="D103" s="99" t="str">
        <x:f>IF(AND(E103&gt;0,F103&gt;0),"مشتركة بين القديمة والحديثة",IF(E103&gt;0,"قديمة فقط","حديثة فقط"))</x:f>
        <x:v>حديثة فقط</x:v>
      </x:c>
      <x:c r="E103" s="124" t="n">
        <x:f>COUNTIFS('مواضع الظهور'!$P$5:$P$168,$S103,'مواضع الظهور'!$G$5:$G$168,"قديمة",'مواضع الظهور'!$B$5:$B$168,"مفقود بلا مصدر")</x:f>
        <x:v>0</x:v>
      </x:c>
      <x:c r="F103" s="124" t="n">
        <x:f>COUNTIFS('مواضع الظهور'!$P$5:$P$168,$S103,'مواضع الظهور'!$G$5:$G$168,"حديثة",'مواضع الظهور'!$B$5:$B$168,"مفقود بلا مصدر")</x:f>
        <x:v>1</x:v>
      </x:c>
      <x:c r="G103" s="124" t="n">
        <x:f>SUM(E103:F103)</x:f>
        <x:v>1</x:v>
      </x:c>
      <x:c r="H103" s="62" t="str">
        <x:v>الدراسات الإسلامية</x:v>
      </x:c>
      <x:c r="I103" s="62" t="str">
        <x:v>بكالوريوس</x:v>
      </x:c>
      <x:c r="J103" s="99" t="str">
        <x:v>حديثة 47</x:v>
      </x:c>
      <x:c r="K103" s="99" t="str">
        <x:v>2</x:v>
      </x:c>
      <x:c r="L103" s="99" t="str">
        <x:v>3</x:v>
      </x:c>
      <x:c r="M103" s="99" t="str">
        <x:v>إجبارية القسم</x:v>
      </x:c>
      <x:c r="N103" s="99" t="str"/>
      <x:c r="O103" s="99" t="str">
        <x:v>2004256-2.pdf</x:v>
      </x:c>
      <x:c r="P103" s="99" t="str">
        <x:v>غير متوفر</x:v>
      </x:c>
      <x:c r="Q103" s="99" t="str"/>
      <x:c r="R103" s="62" t="str"/>
      <x:c r="S103" s="122" t="str">
        <x:v>2004256-2||الحديث التحليلي (٢)</x:v>
      </x:c>
    </x:row>
    <x:row r="104" ht="38" customHeight="1">
      <x:c r="A104" s="124" t="n">
        <x:v>100</x:v>
      </x:c>
      <x:c r="B104" s="99" t="str">
        <x:v>2004262-2</x:v>
      </x:c>
      <x:c r="C104" s="62" t="str">
        <x:v>الدعوة والحسبة</x:v>
      </x:c>
      <x:c r="D104" s="99" t="str">
        <x:f>IF(AND(E104&gt;0,F104&gt;0),"مشتركة بين القديمة والحديثة",IF(E104&gt;0,"قديمة فقط","حديثة فقط"))</x:f>
        <x:v>حديثة فقط</x:v>
      </x:c>
      <x:c r="E104" s="124" t="n">
        <x:f>COUNTIFS('مواضع الظهور'!$P$5:$P$168,$S104,'مواضع الظهور'!$G$5:$G$168,"قديمة",'مواضع الظهور'!$B$5:$B$168,"مفقود بلا مصدر")</x:f>
        <x:v>0</x:v>
      </x:c>
      <x:c r="F104" s="124" t="n">
        <x:f>COUNTIFS('مواضع الظهور'!$P$5:$P$168,$S104,'مواضع الظهور'!$G$5:$G$168,"حديثة",'مواضع الظهور'!$B$5:$B$168,"مفقود بلا مصدر")</x:f>
        <x:v>1</x:v>
      </x:c>
      <x:c r="G104" s="124" t="n">
        <x:f>SUM(E104:F104)</x:f>
        <x:v>1</x:v>
      </x:c>
      <x:c r="H104" s="62" t="str">
        <x:v>الدراسات الإسلامية</x:v>
      </x:c>
      <x:c r="I104" s="62" t="str">
        <x:v>بكالوريوس</x:v>
      </x:c>
      <x:c r="J104" s="99" t="str">
        <x:v>حديثة 47</x:v>
      </x:c>
      <x:c r="K104" s="99" t="str">
        <x:v>2</x:v>
      </x:c>
      <x:c r="L104" s="99" t="str">
        <x:v>5</x:v>
      </x:c>
      <x:c r="M104" s="99" t="str">
        <x:v>إجبارية القسم</x:v>
      </x:c>
      <x:c r="N104" s="99" t="str"/>
      <x:c r="O104" s="99" t="str">
        <x:v>2004262-2.pdf</x:v>
      </x:c>
      <x:c r="P104" s="99" t="str">
        <x:v>غير متوفر</x:v>
      </x:c>
      <x:c r="Q104" s="99" t="str"/>
      <x:c r="R104" s="62" t="str"/>
      <x:c r="S104" s="122" t="str">
        <x:v>2004262-2||الدعوة والحسبة</x:v>
      </x:c>
    </x:row>
    <x:row r="105" ht="38" customHeight="1">
      <x:c r="A105" s="124" t="n">
        <x:v>101</x:v>
      </x:c>
      <x:c r="B105" s="99" t="str">
        <x:v>2004269-4</x:v>
      </x:c>
      <x:c r="C105" s="62" t="str">
        <x:v>التخريج ودراسة الأسانيد</x:v>
      </x:c>
      <x:c r="D105" s="99" t="str">
        <x:f>IF(AND(E105&gt;0,F105&gt;0),"مشتركة بين القديمة والحديثة",IF(E105&gt;0,"قديمة فقط","حديثة فقط"))</x:f>
        <x:v>حديثة فقط</x:v>
      </x:c>
      <x:c r="E105" s="124" t="n">
        <x:f>COUNTIFS('مواضع الظهور'!$P$5:$P$168,$S105,'مواضع الظهور'!$G$5:$G$168,"قديمة",'مواضع الظهور'!$B$5:$B$168,"مفقود بلا مصدر")</x:f>
        <x:v>0</x:v>
      </x:c>
      <x:c r="F105" s="124" t="n">
        <x:f>COUNTIFS('مواضع الظهور'!$P$5:$P$168,$S105,'مواضع الظهور'!$G$5:$G$168,"حديثة",'مواضع الظهور'!$B$5:$B$168,"مفقود بلا مصدر")</x:f>
        <x:v>1</x:v>
      </x:c>
      <x:c r="G105" s="124" t="n">
        <x:f>SUM(E105:F105)</x:f>
        <x:v>1</x:v>
      </x:c>
      <x:c r="H105" s="62" t="str">
        <x:v>الدراسات الإسلامية</x:v>
      </x:c>
      <x:c r="I105" s="62" t="str">
        <x:v>بكالوريوس</x:v>
      </x:c>
      <x:c r="J105" s="99" t="str">
        <x:v>حديثة 47</x:v>
      </x:c>
      <x:c r="K105" s="99" t="str">
        <x:v>4</x:v>
      </x:c>
      <x:c r="L105" s="99" t="str">
        <x:v>7</x:v>
      </x:c>
      <x:c r="M105" s="99" t="str">
        <x:v>إجبارية القسم</x:v>
      </x:c>
      <x:c r="N105" s="99" t="str"/>
      <x:c r="O105" s="99" t="str">
        <x:v>2004269-4.pdf</x:v>
      </x:c>
      <x:c r="P105" s="99" t="str">
        <x:v>غير متوفر</x:v>
      </x:c>
      <x:c r="Q105" s="99" t="str"/>
      <x:c r="R105" s="62" t="str"/>
      <x:c r="S105" s="122" t="str">
        <x:v>2004269-4||التخريج ودراسة الأسانيد</x:v>
      </x:c>
    </x:row>
    <x:row r="106" ht="38" customHeight="1">
      <x:c r="A106" s="124" t="n">
        <x:v>102</x:v>
      </x:c>
      <x:c r="B106" s="99" t="str">
        <x:v>2004272-2</x:v>
      </x:c>
      <x:c r="C106" s="62" t="str">
        <x:v>العمل الخيري</x:v>
      </x:c>
      <x:c r="D106" s="99" t="str">
        <x:f>IF(AND(E106&gt;0,F106&gt;0),"مشتركة بين القديمة والحديثة",IF(E106&gt;0,"قديمة فقط","حديثة فقط"))</x:f>
        <x:v>حديثة فقط</x:v>
      </x:c>
      <x:c r="E106" s="124" t="n">
        <x:f>COUNTIFS('مواضع الظهور'!$P$5:$P$168,$S106,'مواضع الظهور'!$G$5:$G$168,"قديمة",'مواضع الظهور'!$B$5:$B$168,"مفقود بلا مصدر")</x:f>
        <x:v>0</x:v>
      </x:c>
      <x:c r="F106" s="124" t="n">
        <x:f>COUNTIFS('مواضع الظهور'!$P$5:$P$168,$S106,'مواضع الظهور'!$G$5:$G$168,"حديثة",'مواضع الظهور'!$B$5:$B$168,"مفقود بلا مصدر")</x:f>
        <x:v>1</x:v>
      </x:c>
      <x:c r="G106" s="124" t="n">
        <x:f>SUM(E106:F106)</x:f>
        <x:v>1</x:v>
      </x:c>
      <x:c r="H106" s="62" t="str">
        <x:v>الدراسات الإسلامية</x:v>
      </x:c>
      <x:c r="I106" s="62" t="str">
        <x:v>بكالوريوس</x:v>
      </x:c>
      <x:c r="J106" s="99" t="str">
        <x:v>حديثة 47</x:v>
      </x:c>
      <x:c r="K106" s="99" t="str">
        <x:v>2</x:v>
      </x:c>
      <x:c r="L106" s="99" t="str">
        <x:v>7</x:v>
      </x:c>
      <x:c r="M106" s="99" t="str">
        <x:v>إجبارية القسم</x:v>
      </x:c>
      <x:c r="N106" s="99" t="str"/>
      <x:c r="O106" s="99" t="str">
        <x:v>2004272-2.pdf</x:v>
      </x:c>
      <x:c r="P106" s="99" t="str">
        <x:v>غير متوفر</x:v>
      </x:c>
      <x:c r="Q106" s="99" t="str"/>
      <x:c r="R106" s="62" t="str"/>
      <x:c r="S106" s="122" t="str">
        <x:v>2004272-2||العمل الخيري</x:v>
      </x:c>
    </x:row>
    <x:row r="107" ht="38" customHeight="1">
      <x:c r="A107" s="124" t="n">
        <x:v>103</x:v>
      </x:c>
      <x:c r="B107" s="99" t="str">
        <x:v>2004301-2</x:v>
      </x:c>
      <x:c r="C107" s="62" t="str">
        <x:v>تدوين السنة</x:v>
      </x:c>
      <x:c r="D107" s="99" t="str">
        <x:f>IF(AND(E107&gt;0,F107&gt;0),"مشتركة بين القديمة والحديثة",IF(E107&gt;0,"قديمة فقط","حديثة فقط"))</x:f>
        <x:v>حديثة فقط</x:v>
      </x:c>
      <x:c r="E107" s="124" t="n">
        <x:f>COUNTIFS('مواضع الظهور'!$P$5:$P$168,$S107,'مواضع الظهور'!$G$5:$G$168,"قديمة",'مواضع الظهور'!$B$5:$B$168,"مفقود بلا مصدر")</x:f>
        <x:v>0</x:v>
      </x:c>
      <x:c r="F107" s="124" t="n">
        <x:f>COUNTIFS('مواضع الظهور'!$P$5:$P$168,$S107,'مواضع الظهور'!$G$5:$G$168,"حديثة",'مواضع الظهور'!$B$5:$B$168,"مفقود بلا مصدر")</x:f>
        <x:v>1</x:v>
      </x:c>
      <x:c r="G107" s="124" t="n">
        <x:f>SUM(E107:F107)</x:f>
        <x:v>1</x:v>
      </x:c>
      <x:c r="H107" s="62" t="str">
        <x:v>الشريعة</x:v>
      </x:c>
      <x:c r="I107" s="62" t="str">
        <x:v>بكالوريوس</x:v>
      </x:c>
      <x:c r="J107" s="99" t="str">
        <x:v>حديثة 47</x:v>
      </x:c>
      <x:c r="K107" s="99" t="str">
        <x:v>2</x:v>
      </x:c>
      <x:c r="L107" s="99" t="str">
        <x:v>4</x:v>
      </x:c>
      <x:c r="M107" s="99" t="str">
        <x:v>متطلبات الكلية</x:v>
      </x:c>
      <x:c r="N107" s="99" t="str"/>
      <x:c r="O107" s="99" t="str">
        <x:v>2004301-2.pdf</x:v>
      </x:c>
      <x:c r="P107" s="99" t="str">
        <x:v>غير متوفر</x:v>
      </x:c>
      <x:c r="Q107" s="99" t="str"/>
      <x:c r="R107" s="62" t="str"/>
      <x:c r="S107" s="122" t="str">
        <x:v>2004301-2||تدوين السنة</x:v>
      </x:c>
    </x:row>
    <x:row r="108" ht="38" customHeight="1">
      <x:c r="A108" s="124" t="n">
        <x:v>104</x:v>
      </x:c>
      <x:c r="B108" s="99" t="str">
        <x:v>2004305-4</x:v>
      </x:c>
      <x:c r="C108" s="62" t="str">
        <x:v>أحاديث الأحكام (١)</x:v>
      </x:c>
      <x:c r="D108" s="99" t="str">
        <x:f>IF(AND(E108&gt;0,F108&gt;0),"مشتركة بين القديمة والحديثة",IF(E108&gt;0,"قديمة فقط","حديثة فقط"))</x:f>
        <x:v>حديثة فقط</x:v>
      </x:c>
      <x:c r="E108" s="124" t="n">
        <x:f>COUNTIFS('مواضع الظهور'!$P$5:$P$168,$S108,'مواضع الظهور'!$G$5:$G$168,"قديمة",'مواضع الظهور'!$B$5:$B$168,"مفقود بلا مصدر")</x:f>
        <x:v>0</x:v>
      </x:c>
      <x:c r="F108" s="124" t="n">
        <x:f>COUNTIFS('مواضع الظهور'!$P$5:$P$168,$S108,'مواضع الظهور'!$G$5:$G$168,"حديثة",'مواضع الظهور'!$B$5:$B$168,"مفقود بلا مصدر")</x:f>
        <x:v>1</x:v>
      </x:c>
      <x:c r="G108" s="124" t="n">
        <x:f>SUM(E108:F108)</x:f>
        <x:v>1</x:v>
      </x:c>
      <x:c r="H108" s="62" t="str">
        <x:v>الدراسات الإسلامية</x:v>
      </x:c>
      <x:c r="I108" s="62" t="str">
        <x:v>بكالوريوس</x:v>
      </x:c>
      <x:c r="J108" s="99" t="str">
        <x:v>حديثة 47</x:v>
      </x:c>
      <x:c r="K108" s="99" t="str">
        <x:v>4</x:v>
      </x:c>
      <x:c r="L108" s="99" t="str">
        <x:v>4</x:v>
      </x:c>
      <x:c r="M108" s="99" t="str">
        <x:v>إجبارية القسم</x:v>
      </x:c>
      <x:c r="N108" s="99" t="str"/>
      <x:c r="O108" s="99" t="str">
        <x:v>2004305-4.pdf</x:v>
      </x:c>
      <x:c r="P108" s="99" t="str">
        <x:v>غير متوفر</x:v>
      </x:c>
      <x:c r="Q108" s="99" t="str"/>
      <x:c r="R108" s="62" t="str"/>
      <x:c r="S108" s="122" t="str">
        <x:v>2004305-4||أحاديث الأحكام (١)</x:v>
      </x:c>
    </x:row>
    <x:row r="109" ht="38" customHeight="1">
      <x:c r="A109" s="124" t="n">
        <x:v>105</x:v>
      </x:c>
      <x:c r="B109" s="99" t="str">
        <x:v>20043105-2</x:v>
      </x:c>
      <x:c r="C109" s="62" t="str">
        <x:v>الفقه المقارن</x:v>
      </x:c>
      <x:c r="D109" s="99" t="str">
        <x:f>IF(AND(E109&gt;0,F109&gt;0),"مشتركة بين القديمة والحديثة",IF(E109&gt;0,"قديمة فقط","حديثة فقط"))</x:f>
        <x:v>قديمة فقط</x:v>
      </x:c>
      <x:c r="E109" s="124" t="n">
        <x:f>COUNTIFS('مواضع الظهور'!$P$5:$P$168,$S109,'مواضع الظهور'!$G$5:$G$168,"قديمة",'مواضع الظهور'!$B$5:$B$168,"مفقود بلا مصدر")</x:f>
        <x:v>1</x:v>
      </x:c>
      <x:c r="F109" s="124" t="n">
        <x:f>COUNTIFS('مواضع الظهور'!$P$5:$P$168,$S109,'مواضع الظهور'!$G$5:$G$168,"حديثة",'مواضع الظهور'!$B$5:$B$168,"مفقود بلا مصدر")</x:f>
        <x:v>0</x:v>
      </x:c>
      <x:c r="G109" s="124" t="n">
        <x:f>SUM(E109:F109)</x:f>
        <x:v>1</x:v>
      </x:c>
      <x:c r="H109" s="62" t="str">
        <x:v>الدراسات الإسلامية</x:v>
      </x:c>
      <x:c r="I109" s="62" t="str">
        <x:v>بكالوريوس</x:v>
      </x:c>
      <x:c r="J109" s="99" t="str">
        <x:v>قديمة 39</x:v>
      </x:c>
      <x:c r="K109" s="99" t="str">
        <x:v>2</x:v>
      </x:c>
      <x:c r="L109" s="99" t="str">
        <x:v>5</x:v>
      </x:c>
      <x:c r="M109" s="99" t="str">
        <x:v>إجبارية القسم</x:v>
      </x:c>
      <x:c r="N109" s="99" t="str"/>
      <x:c r="O109" s="99" t="str">
        <x:v>20043105-2.pdf</x:v>
      </x:c>
      <x:c r="P109" s="99" t="str">
        <x:v>غير متوفر</x:v>
      </x:c>
      <x:c r="Q109" s="99" t="str"/>
      <x:c r="R109" s="62" t="str"/>
      <x:c r="S109" s="122" t="str">
        <x:v>20043105-2||الفقه المقارن</x:v>
      </x:c>
    </x:row>
    <x:row r="110" ht="38" customHeight="1">
      <x:c r="A110" s="124" t="n">
        <x:v>106</x:v>
      </x:c>
      <x:c r="B110" s="99" t="str">
        <x:v>20043108-2</x:v>
      </x:c>
      <x:c r="C110" s="62" t="str">
        <x:v>علم المواريث (1)</x:v>
      </x:c>
      <x:c r="D110" s="99" t="str">
        <x:f>IF(AND(E110&gt;0,F110&gt;0),"مشتركة بين القديمة والحديثة",IF(E110&gt;0,"قديمة فقط","حديثة فقط"))</x:f>
        <x:v>قديمة فقط</x:v>
      </x:c>
      <x:c r="E110" s="124" t="n">
        <x:f>COUNTIFS('مواضع الظهور'!$P$5:$P$168,$S110,'مواضع الظهور'!$G$5:$G$168,"قديمة",'مواضع الظهور'!$B$5:$B$168,"مفقود بلا مصدر")</x:f>
        <x:v>1</x:v>
      </x:c>
      <x:c r="F110" s="124" t="n">
        <x:f>COUNTIFS('مواضع الظهور'!$P$5:$P$168,$S110,'مواضع الظهور'!$G$5:$G$168,"حديثة",'مواضع الظهور'!$B$5:$B$168,"مفقود بلا مصدر")</x:f>
        <x:v>0</x:v>
      </x:c>
      <x:c r="G110" s="124" t="n">
        <x:f>SUM(E110:F110)</x:f>
        <x:v>1</x:v>
      </x:c>
      <x:c r="H110" s="62" t="str">
        <x:v>الدراسات الإسلامية</x:v>
      </x:c>
      <x:c r="I110" s="62" t="str">
        <x:v>بكالوريوس</x:v>
      </x:c>
      <x:c r="J110" s="99" t="str">
        <x:v>قديمة 39</x:v>
      </x:c>
      <x:c r="K110" s="99" t="str">
        <x:v>2</x:v>
      </x:c>
      <x:c r="L110" s="99" t="str">
        <x:v>5</x:v>
      </x:c>
      <x:c r="M110" s="99" t="str">
        <x:v>إجبارية القسم</x:v>
      </x:c>
      <x:c r="N110" s="99" t="str"/>
      <x:c r="O110" s="99" t="str">
        <x:v>20043108-2.pdf</x:v>
      </x:c>
      <x:c r="P110" s="99" t="str">
        <x:v>غير متوفر</x:v>
      </x:c>
      <x:c r="Q110" s="99" t="str"/>
      <x:c r="R110" s="62" t="str"/>
      <x:c r="S110" s="122" t="str">
        <x:v>20043108-2||علم المواريث (1)</x:v>
      </x:c>
    </x:row>
    <x:row r="111" ht="38" customHeight="1">
      <x:c r="A111" s="124" t="n">
        <x:v>107</x:v>
      </x:c>
      <x:c r="B111" s="99" t="str">
        <x:v>20043109-2</x:v>
      </x:c>
      <x:c r="C111" s="62" t="str">
        <x:v>دراسات في سير السلف</x:v>
      </x:c>
      <x:c r="D111" s="99" t="str">
        <x:f>IF(AND(E111&gt;0,F111&gt;0),"مشتركة بين القديمة والحديثة",IF(E111&gt;0,"قديمة فقط","حديثة فقط"))</x:f>
        <x:v>حديثة فقط</x:v>
      </x:c>
      <x:c r="E111" s="124" t="n">
        <x:f>COUNTIFS('مواضع الظهور'!$P$5:$P$168,$S111,'مواضع الظهور'!$G$5:$G$168,"قديمة",'مواضع الظهور'!$B$5:$B$168,"مفقود بلا مصدر")</x:f>
        <x:v>0</x:v>
      </x:c>
      <x:c r="F111" s="124" t="n">
        <x:f>COUNTIFS('مواضع الظهور'!$P$5:$P$168,$S111,'مواضع الظهور'!$G$5:$G$168,"حديثة",'مواضع الظهور'!$B$5:$B$168,"مفقود بلا مصدر")</x:f>
        <x:v>1</x:v>
      </x:c>
      <x:c r="G111" s="124" t="n">
        <x:f>SUM(E111:F111)</x:f>
        <x:v>1</x:v>
      </x:c>
      <x:c r="H111" s="62" t="str">
        <x:v>الدراسات الإسلامية</x:v>
      </x:c>
      <x:c r="I111" s="62" t="str">
        <x:v>بكالوريوس</x:v>
      </x:c>
      <x:c r="J111" s="99" t="str">
        <x:v>حديثة 47</x:v>
      </x:c>
      <x:c r="K111" s="99" t="str">
        <x:v>2</x:v>
      </x:c>
      <x:c r="L111" s="99" t="str">
        <x:v>5</x:v>
      </x:c>
      <x:c r="M111" s="99" t="str">
        <x:v>اختيارية القسم</x:v>
      </x:c>
      <x:c r="N111" s="99" t="str"/>
      <x:c r="O111" s="99" t="str">
        <x:v>20043109-2.pdf</x:v>
      </x:c>
      <x:c r="P111" s="99" t="str">
        <x:v>غير متوفر</x:v>
      </x:c>
      <x:c r="Q111" s="99" t="str"/>
      <x:c r="R111" s="62" t="str"/>
      <x:c r="S111" s="122" t="str">
        <x:v>20043109-2||دراسات في سير السلف</x:v>
      </x:c>
    </x:row>
    <x:row r="112" ht="38" customHeight="1">
      <x:c r="A112" s="124" t="n">
        <x:v>108</x:v>
      </x:c>
      <x:c r="B112" s="99" t="str">
        <x:v>20043110-2</x:v>
      </x:c>
      <x:c r="C112" s="62" t="str">
        <x:v>محاسن الإسلام</x:v>
      </x:c>
      <x:c r="D112" s="99" t="str">
        <x:f>IF(AND(E112&gt;0,F112&gt;0),"مشتركة بين القديمة والحديثة",IF(E112&gt;0,"قديمة فقط","حديثة فقط"))</x:f>
        <x:v>حديثة فقط</x:v>
      </x:c>
      <x:c r="E112" s="124" t="n">
        <x:f>COUNTIFS('مواضع الظهور'!$P$5:$P$168,$S112,'مواضع الظهور'!$G$5:$G$168,"قديمة",'مواضع الظهور'!$B$5:$B$168,"مفقود بلا مصدر")</x:f>
        <x:v>0</x:v>
      </x:c>
      <x:c r="F112" s="124" t="n">
        <x:f>COUNTIFS('مواضع الظهور'!$P$5:$P$168,$S112,'مواضع الظهور'!$G$5:$G$168,"حديثة",'مواضع الظهور'!$B$5:$B$168,"مفقود بلا مصدر")</x:f>
        <x:v>1</x:v>
      </x:c>
      <x:c r="G112" s="124" t="n">
        <x:f>SUM(E112:F112)</x:f>
        <x:v>1</x:v>
      </x:c>
      <x:c r="H112" s="62" t="str">
        <x:v>الدراسات الإسلامية</x:v>
      </x:c>
      <x:c r="I112" s="62" t="str">
        <x:v>بكالوريوس</x:v>
      </x:c>
      <x:c r="J112" s="99" t="str">
        <x:v>حديثة 47</x:v>
      </x:c>
      <x:c r="K112" s="99" t="str">
        <x:v>2</x:v>
      </x:c>
      <x:c r="L112" s="99" t="str">
        <x:v>5</x:v>
      </x:c>
      <x:c r="M112" s="99" t="str">
        <x:v>اختيارية القسم</x:v>
      </x:c>
      <x:c r="N112" s="99" t="str"/>
      <x:c r="O112" s="99" t="str">
        <x:v>20043110-2.pdf</x:v>
      </x:c>
      <x:c r="P112" s="99" t="str">
        <x:v>غير متوفر</x:v>
      </x:c>
      <x:c r="Q112" s="99" t="str"/>
      <x:c r="R112" s="62" t="str"/>
      <x:c r="S112" s="122" t="str">
        <x:v>20043110-2||محاسن الإسلام</x:v>
      </x:c>
    </x:row>
    <x:row r="113" ht="38" customHeight="1">
      <x:c r="A113" s="124" t="n">
        <x:v>109</x:v>
      </x:c>
      <x:c r="B113" s="99" t="str">
        <x:v>20043111-2</x:v>
      </x:c>
      <x:c r="C113" s="62" t="str">
        <x:v>الأمن الفكري</x:v>
      </x:c>
      <x:c r="D113" s="99" t="str">
        <x:f>IF(AND(E113&gt;0,F113&gt;0),"مشتركة بين القديمة والحديثة",IF(E113&gt;0,"قديمة فقط","حديثة فقط"))</x:f>
        <x:v>حديثة فقط</x:v>
      </x:c>
      <x:c r="E113" s="124" t="n">
        <x:f>COUNTIFS('مواضع الظهور'!$P$5:$P$168,$S113,'مواضع الظهور'!$G$5:$G$168,"قديمة",'مواضع الظهور'!$B$5:$B$168,"مفقود بلا مصدر")</x:f>
        <x:v>0</x:v>
      </x:c>
      <x:c r="F113" s="124" t="n">
        <x:f>COUNTIFS('مواضع الظهور'!$P$5:$P$168,$S113,'مواضع الظهور'!$G$5:$G$168,"حديثة",'مواضع الظهور'!$B$5:$B$168,"مفقود بلا مصدر")</x:f>
        <x:v>1</x:v>
      </x:c>
      <x:c r="G113" s="124" t="n">
        <x:f>SUM(E113:F113)</x:f>
        <x:v>1</x:v>
      </x:c>
      <x:c r="H113" s="62" t="str">
        <x:v>الدراسات الإسلامية</x:v>
      </x:c>
      <x:c r="I113" s="62" t="str">
        <x:v>بكالوريوس</x:v>
      </x:c>
      <x:c r="J113" s="99" t="str">
        <x:v>حديثة 47</x:v>
      </x:c>
      <x:c r="K113" s="99" t="str">
        <x:v>2</x:v>
      </x:c>
      <x:c r="L113" s="99" t="str">
        <x:v>7</x:v>
      </x:c>
      <x:c r="M113" s="99" t="str">
        <x:v>اختيارية القسم</x:v>
      </x:c>
      <x:c r="N113" s="99" t="str"/>
      <x:c r="O113" s="99" t="str">
        <x:v>20043111-2.pdf</x:v>
      </x:c>
      <x:c r="P113" s="99" t="str">
        <x:v>غير متوفر</x:v>
      </x:c>
      <x:c r="Q113" s="99" t="str"/>
      <x:c r="R113" s="62" t="str"/>
      <x:c r="S113" s="122" t="str">
        <x:v>20043111-2||الأمن الفكري</x:v>
      </x:c>
    </x:row>
    <x:row r="114" ht="38" customHeight="1">
      <x:c r="A114" s="124" t="n">
        <x:v>110</x:v>
      </x:c>
      <x:c r="B114" s="99" t="str">
        <x:v>2004320-2</x:v>
      </x:c>
      <x:c r="C114" s="62" t="str">
        <x:v>الحديث (3)</x:v>
      </x:c>
      <x:c r="D114" s="99" t="str">
        <x:f>IF(AND(E114&gt;0,F114&gt;0),"مشتركة بين القديمة والحديثة",IF(E114&gt;0,"قديمة فقط","حديثة فقط"))</x:f>
        <x:v>حديثة فقط</x:v>
      </x:c>
      <x:c r="E114" s="124" t="n">
        <x:f>COUNTIFS('مواضع الظهور'!$P$5:$P$168,$S114,'مواضع الظهور'!$G$5:$G$168,"قديمة",'مواضع الظهور'!$B$5:$B$168,"مفقود بلا مصدر")</x:f>
        <x:v>0</x:v>
      </x:c>
      <x:c r="F114" s="124" t="n">
        <x:f>COUNTIFS('مواضع الظهور'!$P$5:$P$168,$S114,'مواضع الظهور'!$G$5:$G$168,"حديثة",'مواضع الظهور'!$B$5:$B$168,"مفقود بلا مصدر")</x:f>
        <x:v>2</x:v>
      </x:c>
      <x:c r="G114" s="124" t="n">
        <x:f>SUM(E114:F114)</x:f>
        <x:v>2</x:v>
      </x:c>
      <x:c r="H114" s="62" t="str">
        <x:v>القرآن وعلومه؛ القراءات</x:v>
      </x:c>
      <x:c r="I114" s="62" t="str">
        <x:v>بكالوريوس</x:v>
      </x:c>
      <x:c r="J114" s="99" t="str">
        <x:v>حديثة 47</x:v>
      </x:c>
      <x:c r="K114" s="99" t="str">
        <x:v>2</x:v>
      </x:c>
      <x:c r="L114" s="99" t="str">
        <x:v>5؛ 6</x:v>
      </x:c>
      <x:c r="M114" s="99" t="str">
        <x:v>متطلبات الكلية</x:v>
      </x:c>
      <x:c r="N114" s="99" t="str"/>
      <x:c r="O114" s="99" t="str">
        <x:v>2004320-2.pdf</x:v>
      </x:c>
      <x:c r="P114" s="99" t="str">
        <x:v>غير متوفر</x:v>
      </x:c>
      <x:c r="Q114" s="99" t="str"/>
      <x:c r="R114" s="62" t="str"/>
      <x:c r="S114" s="122" t="str">
        <x:v>2004320-2||الحديث (3)</x:v>
      </x:c>
    </x:row>
    <x:row r="115" ht="38" customHeight="1">
      <x:c r="A115" s="124" t="n">
        <x:v>111</x:v>
      </x:c>
      <x:c r="B115" s="99" t="str">
        <x:v>20043202-2</x:v>
      </x:c>
      <x:c r="C115" s="62" t="str">
        <x:v>القواعد الفقهية</x:v>
      </x:c>
      <x:c r="D115" s="99" t="str">
        <x:f>IF(AND(E115&gt;0,F115&gt;0),"مشتركة بين القديمة والحديثة",IF(E115&gt;0,"قديمة فقط","حديثة فقط"))</x:f>
        <x:v>قديمة فقط</x:v>
      </x:c>
      <x:c r="E115" s="124" t="n">
        <x:f>COUNTIFS('مواضع الظهور'!$P$5:$P$168,$S115,'مواضع الظهور'!$G$5:$G$168,"قديمة",'مواضع الظهور'!$B$5:$B$168,"مفقود بلا مصدر")</x:f>
        <x:v>1</x:v>
      </x:c>
      <x:c r="F115" s="124" t="n">
        <x:f>COUNTIFS('مواضع الظهور'!$P$5:$P$168,$S115,'مواضع الظهور'!$G$5:$G$168,"حديثة",'مواضع الظهور'!$B$5:$B$168,"مفقود بلا مصدر")</x:f>
        <x:v>0</x:v>
      </x:c>
      <x:c r="G115" s="124" t="n">
        <x:f>SUM(E115:F115)</x:f>
        <x:v>1</x:v>
      </x:c>
      <x:c r="H115" s="62" t="str">
        <x:v>الدراسات الإسلامية</x:v>
      </x:c>
      <x:c r="I115" s="62" t="str">
        <x:v>بكالوريوس</x:v>
      </x:c>
      <x:c r="J115" s="99" t="str">
        <x:v>قديمة 39</x:v>
      </x:c>
      <x:c r="K115" s="99" t="str">
        <x:v>2</x:v>
      </x:c>
      <x:c r="L115" s="99" t="str">
        <x:v>6</x:v>
      </x:c>
      <x:c r="M115" s="99" t="str">
        <x:v>إجبارية القسم</x:v>
      </x:c>
      <x:c r="N115" s="99" t="str"/>
      <x:c r="O115" s="99" t="str">
        <x:v>20043202-2.pdf</x:v>
      </x:c>
      <x:c r="P115" s="99" t="str">
        <x:v>غير متوفر</x:v>
      </x:c>
      <x:c r="Q115" s="99" t="str"/>
      <x:c r="R115" s="62" t="str"/>
      <x:c r="S115" s="122" t="str">
        <x:v>20043202-2||القواعد الفقهية</x:v>
      </x:c>
    </x:row>
    <x:row r="116" ht="38" customHeight="1">
      <x:c r="A116" s="124" t="n">
        <x:v>112</x:v>
      </x:c>
      <x:c r="B116" s="99" t="str">
        <x:v>2004403-2</x:v>
      </x:c>
      <x:c r="C116" s="62" t="str">
        <x:v>الأديان والفرق والمذاهب المعاصرة</x:v>
      </x:c>
      <x:c r="D116" s="99" t="str">
        <x:f>IF(AND(E116&gt;0,F116&gt;0),"مشتركة بين القديمة والحديثة",IF(E116&gt;0,"قديمة فقط","حديثة فقط"))</x:f>
        <x:v>حديثة فقط</x:v>
      </x:c>
      <x:c r="E116" s="124" t="n">
        <x:f>COUNTIFS('مواضع الظهور'!$P$5:$P$168,$S116,'مواضع الظهور'!$G$5:$G$168,"قديمة",'مواضع الظهور'!$B$5:$B$168,"مفقود بلا مصدر")</x:f>
        <x:v>0</x:v>
      </x:c>
      <x:c r="F116" s="124" t="n">
        <x:f>COUNTIFS('مواضع الظهور'!$P$5:$P$168,$S116,'مواضع الظهور'!$G$5:$G$168,"حديثة",'مواضع الظهور'!$B$5:$B$168,"مفقود بلا مصدر")</x:f>
        <x:v>2</x:v>
      </x:c>
      <x:c r="G116" s="124" t="n">
        <x:f>SUM(E116:F116)</x:f>
        <x:v>2</x:v>
      </x:c>
      <x:c r="H116" s="62" t="str">
        <x:v>القرآن وعلومه؛ القراءات</x:v>
      </x:c>
      <x:c r="I116" s="62" t="str">
        <x:v>بكالوريوس</x:v>
      </x:c>
      <x:c r="J116" s="99" t="str">
        <x:v>حديثة 47</x:v>
      </x:c>
      <x:c r="K116" s="99" t="str">
        <x:v>2</x:v>
      </x:c>
      <x:c r="L116" s="99" t="str">
        <x:v>7</x:v>
      </x:c>
      <x:c r="M116" s="99" t="str">
        <x:v>متطلبات الكلية</x:v>
      </x:c>
      <x:c r="N116" s="99" t="str"/>
      <x:c r="O116" s="99" t="str">
        <x:v>2004403-2.pdf</x:v>
      </x:c>
      <x:c r="P116" s="99" t="str">
        <x:v>غير متوفر</x:v>
      </x:c>
      <x:c r="Q116" s="99" t="str"/>
      <x:c r="R116" s="62" t="str"/>
      <x:c r="S116" s="122" t="str">
        <x:v>2004403-2||الأديان والفرق والمذاهب المعاصرة</x:v>
      </x:c>
    </x:row>
    <x:row r="117" ht="38" customHeight="1">
      <x:c r="A117" s="124" t="n">
        <x:v>113</x:v>
      </x:c>
      <x:c r="B117" s="99" t="str">
        <x:v>20044101-2</x:v>
      </x:c>
      <x:c r="C117" s="62" t="str">
        <x:v>أصول فقه (3)</x:v>
      </x:c>
      <x:c r="D117" s="99" t="str">
        <x:f>IF(AND(E117&gt;0,F117&gt;0),"مشتركة بين القديمة والحديثة",IF(E117&gt;0,"قديمة فقط","حديثة فقط"))</x:f>
        <x:v>قديمة فقط</x:v>
      </x:c>
      <x:c r="E117" s="124" t="n">
        <x:f>COUNTIFS('مواضع الظهور'!$P$5:$P$168,$S117,'مواضع الظهور'!$G$5:$G$168,"قديمة",'مواضع الظهور'!$B$5:$B$168,"مفقود بلا مصدر")</x:f>
        <x:v>1</x:v>
      </x:c>
      <x:c r="F117" s="124" t="n">
        <x:f>COUNTIFS('مواضع الظهور'!$P$5:$P$168,$S117,'مواضع الظهور'!$G$5:$G$168,"حديثة",'مواضع الظهور'!$B$5:$B$168,"مفقود بلا مصدر")</x:f>
        <x:v>0</x:v>
      </x:c>
      <x:c r="G117" s="124" t="n">
        <x:f>SUM(E117:F117)</x:f>
        <x:v>1</x:v>
      </x:c>
      <x:c r="H117" s="62" t="str">
        <x:v>الدراسات الإسلامية</x:v>
      </x:c>
      <x:c r="I117" s="62" t="str">
        <x:v>بكالوريوس</x:v>
      </x:c>
      <x:c r="J117" s="99" t="str">
        <x:v>قديمة 39</x:v>
      </x:c>
      <x:c r="K117" s="99" t="str">
        <x:v>2</x:v>
      </x:c>
      <x:c r="L117" s="99" t="str">
        <x:v>7</x:v>
      </x:c>
      <x:c r="M117" s="99" t="str">
        <x:v>إجبارية القسم</x:v>
      </x:c>
      <x:c r="N117" s="99" t="str"/>
      <x:c r="O117" s="99" t="str">
        <x:v>20044101-2.pdf</x:v>
      </x:c>
      <x:c r="P117" s="99" t="str">
        <x:v>غير متوفر</x:v>
      </x:c>
      <x:c r="Q117" s="99" t="str"/>
      <x:c r="R117" s="62" t="str"/>
      <x:c r="S117" s="122" t="str">
        <x:v>20044101-2||أصول فقه (3)</x:v>
      </x:c>
    </x:row>
    <x:row r="118" ht="38" customHeight="1">
      <x:c r="A118" s="124" t="n">
        <x:v>114</x:v>
      </x:c>
      <x:c r="B118" s="99" t="str">
        <x:v>20044206-2</x:v>
      </x:c>
      <x:c r="C118" s="62" t="str">
        <x:v>علم المواريث (2)</x:v>
      </x:c>
      <x:c r="D118" s="99" t="str">
        <x:f>IF(AND(E118&gt;0,F118&gt;0),"مشتركة بين القديمة والحديثة",IF(E118&gt;0,"قديمة فقط","حديثة فقط"))</x:f>
        <x:v>قديمة فقط</x:v>
      </x:c>
      <x:c r="E118" s="124" t="n">
        <x:f>COUNTIFS('مواضع الظهور'!$P$5:$P$168,$S118,'مواضع الظهور'!$G$5:$G$168,"قديمة",'مواضع الظهور'!$B$5:$B$168,"مفقود بلا مصدر")</x:f>
        <x:v>1</x:v>
      </x:c>
      <x:c r="F118" s="124" t="n">
        <x:f>COUNTIFS('مواضع الظهور'!$P$5:$P$168,$S118,'مواضع الظهور'!$G$5:$G$168,"حديثة",'مواضع الظهور'!$B$5:$B$168,"مفقود بلا مصدر")</x:f>
        <x:v>0</x:v>
      </x:c>
      <x:c r="G118" s="124" t="n">
        <x:f>SUM(E118:F118)</x:f>
        <x:v>1</x:v>
      </x:c>
      <x:c r="H118" s="62" t="str">
        <x:v>الدراسات الإسلامية</x:v>
      </x:c>
      <x:c r="I118" s="62" t="str">
        <x:v>بكالوريوس</x:v>
      </x:c>
      <x:c r="J118" s="99" t="str">
        <x:v>قديمة 39</x:v>
      </x:c>
      <x:c r="K118" s="99" t="str">
        <x:v>2</x:v>
      </x:c>
      <x:c r="L118" s="99" t="str">
        <x:v>8</x:v>
      </x:c>
      <x:c r="M118" s="99" t="str">
        <x:v>إجبارية القسم</x:v>
      </x:c>
      <x:c r="N118" s="99" t="str"/>
      <x:c r="O118" s="99" t="str">
        <x:v>20044206-2.pdf</x:v>
      </x:c>
      <x:c r="P118" s="99" t="str">
        <x:v>غير متوفر</x:v>
      </x:c>
      <x:c r="Q118" s="99" t="str"/>
      <x:c r="R118" s="62" t="str"/>
      <x:c r="S118" s="122" t="str">
        <x:v>20044206-2||علم المواريث (2)</x:v>
      </x:c>
    </x:row>
    <x:row r="119" ht="38" customHeight="1">
      <x:c r="A119" s="124" t="n">
        <x:v>115</x:v>
      </x:c>
      <x:c r="B119" s="99" t="str">
        <x:v>20044220-4</x:v>
      </x:c>
      <x:c r="C119" s="62" t="str">
        <x:v>التدريب التعاوني</x:v>
      </x:c>
      <x:c r="D119" s="99" t="str">
        <x:f>IF(AND(E119&gt;0,F119&gt;0),"مشتركة بين القديمة والحديثة",IF(E119&gt;0,"قديمة فقط","حديثة فقط"))</x:f>
        <x:v>حديثة فقط</x:v>
      </x:c>
      <x:c r="E119" s="124" t="n">
        <x:f>COUNTIFS('مواضع الظهور'!$P$5:$P$168,$S119,'مواضع الظهور'!$G$5:$G$168,"قديمة",'مواضع الظهور'!$B$5:$B$168,"مفقود بلا مصدر")</x:f>
        <x:v>0</x:v>
      </x:c>
      <x:c r="F119" s="124" t="n">
        <x:f>COUNTIFS('مواضع الظهور'!$P$5:$P$168,$S119,'مواضع الظهور'!$G$5:$G$168,"حديثة",'مواضع الظهور'!$B$5:$B$168,"مفقود بلا مصدر")</x:f>
        <x:v>1</x:v>
      </x:c>
      <x:c r="G119" s="124" t="n">
        <x:f>SUM(E119:F119)</x:f>
        <x:v>1</x:v>
      </x:c>
      <x:c r="H119" s="62" t="str">
        <x:v>الدراسات الإسلامية</x:v>
      </x:c>
      <x:c r="I119" s="62" t="str">
        <x:v>بكالوريوس</x:v>
      </x:c>
      <x:c r="J119" s="99" t="str">
        <x:v>حديثة 47</x:v>
      </x:c>
      <x:c r="K119" s="99" t="str">
        <x:v>4</x:v>
      </x:c>
      <x:c r="L119" s="99" t="str">
        <x:v>8</x:v>
      </x:c>
      <x:c r="M119" s="99" t="str">
        <x:v>إجبارية القسم</x:v>
      </x:c>
      <x:c r="N119" s="99" t="str"/>
      <x:c r="O119" s="99" t="str">
        <x:v>20044220-4.pdf</x:v>
      </x:c>
      <x:c r="P119" s="99" t="str">
        <x:v>غير متوفر</x:v>
      </x:c>
      <x:c r="Q119" s="99" t="str"/>
      <x:c r="R119" s="62" t="str"/>
      <x:c r="S119" s="122" t="str">
        <x:v>20044220-4||التدريب التعاوني</x:v>
      </x:c>
    </x:row>
    <x:row r="120" ht="38" customHeight="1">
      <x:c r="A120" s="124" t="n">
        <x:v>116</x:v>
      </x:c>
      <x:c r="B120" s="99" t="str">
        <x:v>2004476-2</x:v>
      </x:c>
      <x:c r="C120" s="62" t="str">
        <x:v>الأديان والفرق</x:v>
      </x:c>
      <x:c r="D120" s="99" t="str">
        <x:f>IF(AND(E120&gt;0,F120&gt;0),"مشتركة بين القديمة والحديثة",IF(E120&gt;0,"قديمة فقط","حديثة فقط"))</x:f>
        <x:v>حديثة فقط</x:v>
      </x:c>
      <x:c r="E120" s="124" t="n">
        <x:f>COUNTIFS('مواضع الظهور'!$P$5:$P$168,$S120,'مواضع الظهور'!$G$5:$G$168,"قديمة",'مواضع الظهور'!$B$5:$B$168,"مفقود بلا مصدر")</x:f>
        <x:v>0</x:v>
      </x:c>
      <x:c r="F120" s="124" t="n">
        <x:f>COUNTIFS('مواضع الظهور'!$P$5:$P$168,$S120,'مواضع الظهور'!$G$5:$G$168,"حديثة",'مواضع الظهور'!$B$5:$B$168,"مفقود بلا مصدر")</x:f>
        <x:v>1</x:v>
      </x:c>
      <x:c r="G120" s="124" t="n">
        <x:f>SUM(E120:F120)</x:f>
        <x:v>1</x:v>
      </x:c>
      <x:c r="H120" s="62" t="str">
        <x:v>الشريعة</x:v>
      </x:c>
      <x:c r="I120" s="62" t="str">
        <x:v>بكالوريوس</x:v>
      </x:c>
      <x:c r="J120" s="99" t="str">
        <x:v>حديثة 47</x:v>
      </x:c>
      <x:c r="K120" s="99" t="str">
        <x:v>2</x:v>
      </x:c>
      <x:c r="L120" s="99" t="str">
        <x:v>6</x:v>
      </x:c>
      <x:c r="M120" s="99" t="str">
        <x:v>متطلبات الكلية</x:v>
      </x:c>
      <x:c r="N120" s="99" t="str"/>
      <x:c r="O120" s="99" t="str">
        <x:v>2004476-2.pdf</x:v>
      </x:c>
      <x:c r="P120" s="99" t="str">
        <x:v>غير متوفر</x:v>
      </x:c>
      <x:c r="Q120" s="99" t="str"/>
      <x:c r="R120" s="62" t="str"/>
      <x:c r="S120" s="122" t="str">
        <x:v>2004476-2||الأديان والفرق</x:v>
      </x:c>
    </x:row>
  </x:sheetData>
  <x:mergeCells>
    <x:mergeCell ref="A1:S1"/>
    <x:mergeCell ref="A2:S2"/>
  </x:mergeCells>
  <x:conditionalFormatting sqref="P5:P120">
    <x:cfRule type="containsText" dxfId="0" priority="1" operator="containsText" text="تم التزويد"/>
    <x:cfRule type="containsText" dxfId="1" priority="2" operator="containsText" text="قيد البحث"/>
    <x:cfRule type="containsText" dxfId="2" priority="3" operator="containsText" text="يحتاج مراجعة"/>
  </x:conditionalFormatting>
  <x:conditionalFormatting sqref="N5:N120">
    <x:cfRule type="notContainsBlanks" dxfId="3" priority="4"/>
  </x:conditionalFormatting>
  <x:dataValidations count="1">
    <x:dataValidation type="list" sqref="P5:P120">
      <x:formula1>"غير متوفر,قيد البحث,تم التزويد,يحتاج مراجعة,غير مطلوب"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84db9684c845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16" hidden="0" customWidth="1"/>
    <x:col min="4" max="4" width="30" hidden="0" customWidth="1"/>
    <x:col min="5" max="5" width="22" hidden="0" customWidth="1"/>
    <x:col min="6" max="6" width="14" hidden="0" customWidth="1"/>
    <x:col min="7" max="7" width="14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5" hidden="0" customWidth="1"/>
    <x:col min="13" max="13" width="22" hidden="0" customWidth="1"/>
    <x:col min="14" max="14" width="21" hidden="0" customWidth="1"/>
    <x:col min="15" max="15" width="29" hidden="0" customWidth="1"/>
    <x:col min="16" max="16" width="36" hidden="0" customWidth="1"/>
  </x:cols>
  <x:sheetData>
    <x:row r="1" ht="34" customHeight="1">
      <x:c r="A1" s="4" t="str">
        <x:v>مواضع ظهور المقررات غير المكتملة في الخطط — 164 ظهورًا</x:v>
      </x:c>
      <x:c r="B1" s="4" t="str">
        <x:v>مواضع ظهور المقررات غير المكتملة في الخطط — 164 ظهورًا</x:v>
      </x:c>
      <x:c r="C1" s="4" t="str">
        <x:v>مواضع ظهور المقررات غير المكتملة في الخطط — 164 ظهورًا</x:v>
      </x:c>
      <x:c r="D1" s="4" t="str">
        <x:v>مواضع ظهور المقررات غير المكتملة في الخطط — 164 ظهورًا</x:v>
      </x:c>
      <x:c r="E1" s="4" t="str">
        <x:v>مواضع ظهور المقررات غير المكتملة في الخطط — 164 ظهورًا</x:v>
      </x:c>
      <x:c r="F1" s="4" t="str">
        <x:v>مواضع ظهور المقررات غير المكتملة في الخطط — 164 ظهورًا</x:v>
      </x:c>
      <x:c r="G1" s="4" t="str">
        <x:v>مواضع ظهور المقررات غير المكتملة في الخطط — 164 ظهورًا</x:v>
      </x:c>
      <x:c r="H1" s="4" t="str">
        <x:v>مواضع ظهور المقررات غير المكتملة في الخطط — 164 ظهورًا</x:v>
      </x:c>
      <x:c r="I1" s="4" t="str">
        <x:v>مواضع ظهور المقررات غير المكتملة في الخطط — 164 ظهورًا</x:v>
      </x:c>
      <x:c r="J1" s="4" t="str">
        <x:v>مواضع ظهور المقررات غير المكتملة في الخطط — 164 ظهورًا</x:v>
      </x:c>
      <x:c r="K1" s="4" t="str">
        <x:v>مواضع ظهور المقررات غير المكتملة في الخطط — 164 ظهورًا</x:v>
      </x:c>
      <x:c r="L1" s="4" t="str">
        <x:v>مواضع ظهور المقررات غير المكتملة في الخطط — 164 ظهورًا</x:v>
      </x:c>
      <x:c r="M1" s="4" t="str">
        <x:v>مواضع ظهور المقررات غير المكتملة في الخطط — 164 ظهورًا</x:v>
      </x:c>
      <x:c r="N1" s="4" t="str">
        <x:v>مواضع ظهور المقررات غير المكتملة في الخطط — 164 ظهورًا</x:v>
      </x:c>
      <x:c r="O1" s="4" t="str">
        <x:v>مواضع ظهور المقررات غير المكتملة في الخطط — 164 ظهورًا</x:v>
      </x:c>
      <x:c r="P1" s="4" t="str">
        <x:v>مواضع ظهور المقررات غير المكتملة في الخطط — 164 ظهورًا</x:v>
      </x:c>
    </x:row>
    <x:row r="2" ht="42" customHeight="1">
      <x:c r="A2" s="16" t="str">
        <x:v>تشمل 158 ظهورًا للـ116 التي يلزم توفيرها، و6 ظهورات للحالات 5 التي لها مرشح يحتاج حسمًا. لا تشمل الرسالة والاختبار الشامل؛ والساعات مأخوذة من صفوف الخطط، لا من لاحقة الرمز.</x:v>
      </x:c>
      <x:c r="B2" s="17" t="str">
        <x:v>تشمل 158 ظهورًا للـ116 التي يلزم توفيرها، و6 ظهورات للحالات 5 التي لها مرشح يحتاج حسمًا. لا تشمل الرسالة والاختبار الشامل؛ والساعات مأخوذة من صفوف الخطط، لا من لاحقة الرمز.</x:v>
      </x:c>
      <x:c r="C2" s="17" t="str">
        <x:v>تشمل 158 ظهورًا للـ116 التي يلزم توفيرها، و6 ظهورات للحالات 5 التي لها مرشح يحتاج حسمًا. لا تشمل الرسالة والاختبار الشامل؛ والساعات مأخوذة من صفوف الخطط، لا من لاحقة الرمز.</x:v>
      </x:c>
      <x:c r="D2" s="17" t="str">
        <x:v>تشمل 158 ظهورًا للـ116 التي يلزم توفيرها، و6 ظهورات للحالات 5 التي لها مرشح يحتاج حسمًا. لا تشمل الرسالة والاختبار الشامل؛ والساعات مأخوذة من صفوف الخطط، لا من لاحقة الرمز.</x:v>
      </x:c>
      <x:c r="E2" s="17" t="str">
        <x:v>تشمل 158 ظهورًا للـ116 التي يلزم توفيرها، و6 ظهورات للحالات 5 التي لها مرشح يحتاج حسمًا. لا تشمل الرسالة والاختبار الشامل؛ والساعات مأخوذة من صفوف الخطط، لا من لاحقة الرمز.</x:v>
      </x:c>
      <x:c r="F2" s="17" t="str">
        <x:v>تشمل 158 ظهورًا للـ116 التي يلزم توفيرها، و6 ظهورات للحالات 5 التي لها مرشح يحتاج حسمًا. لا تشمل الرسالة والاختبار الشامل؛ والساعات مأخوذة من صفوف الخطط، لا من لاحقة الرمز.</x:v>
      </x:c>
      <x:c r="G2" s="17" t="str">
        <x:v>تشمل 158 ظهورًا للـ116 التي يلزم توفيرها، و6 ظهورات للحالات 5 التي لها مرشح يحتاج حسمًا. لا تشمل الرسالة والاختبار الشامل؛ والساعات مأخوذة من صفوف الخطط، لا من لاحقة الرمز.</x:v>
      </x:c>
      <x:c r="H2" s="17" t="str">
        <x:v>تشمل 158 ظهورًا للـ116 التي يلزم توفيرها، و6 ظهورات للحالات 5 التي لها مرشح يحتاج حسمًا. لا تشمل الرسالة والاختبار الشامل؛ والساعات مأخوذة من صفوف الخطط، لا من لاحقة الرمز.</x:v>
      </x:c>
      <x:c r="I2" s="17" t="str">
        <x:v>تشمل 158 ظهورًا للـ116 التي يلزم توفيرها، و6 ظهورات للحالات 5 التي لها مرشح يحتاج حسمًا. لا تشمل الرسالة والاختبار الشامل؛ والساعات مأخوذة من صفوف الخطط، لا من لاحقة الرمز.</x:v>
      </x:c>
      <x:c r="J2" s="17" t="str">
        <x:v>تشمل 158 ظهورًا للـ116 التي يلزم توفيرها، و6 ظهورات للحالات 5 التي لها مرشح يحتاج حسمًا. لا تشمل الرسالة والاختبار الشامل؛ والساعات مأخوذة من صفوف الخطط، لا من لاحقة الرمز.</x:v>
      </x:c>
      <x:c r="K2" s="17" t="str">
        <x:v>تشمل 158 ظهورًا للـ116 التي يلزم توفيرها، و6 ظهورات للحالات 5 التي لها مرشح يحتاج حسمًا. لا تشمل الرسالة والاختبار الشامل؛ والساعات مأخوذة من صفوف الخطط، لا من لاحقة الرمز.</x:v>
      </x:c>
      <x:c r="L2" s="17" t="str">
        <x:v>تشمل 158 ظهورًا للـ116 التي يلزم توفيرها، و6 ظهورات للحالات 5 التي لها مرشح يحتاج حسمًا. لا تشمل الرسالة والاختبار الشامل؛ والساعات مأخوذة من صفوف الخطط، لا من لاحقة الرمز.</x:v>
      </x:c>
      <x:c r="M2" s="17" t="str">
        <x:v>تشمل 158 ظهورًا للـ116 التي يلزم توفيرها، و6 ظهورات للحالات 5 التي لها مرشح يحتاج حسمًا. لا تشمل الرسالة والاختبار الشامل؛ والساعات مأخوذة من صفوف الخطط، لا من لاحقة الرمز.</x:v>
      </x:c>
      <x:c r="N2" s="17" t="str">
        <x:v>تشمل 158 ظهورًا للـ116 التي يلزم توفيرها، و6 ظهورات للحالات 5 التي لها مرشح يحتاج حسمًا. لا تشمل الرسالة والاختبار الشامل؛ والساعات مأخوذة من صفوف الخطط، لا من لاحقة الرمز.</x:v>
      </x:c>
      <x:c r="O2" s="17" t="str">
        <x:v>تشمل 158 ظهورًا للـ116 التي يلزم توفيرها، و6 ظهورات للحالات 5 التي لها مرشح يحتاج حسمًا. لا تشمل الرسالة والاختبار الشامل؛ والساعات مأخوذة من صفوف الخطط، لا من لاحقة الرمز.</x:v>
      </x:c>
      <x:c r="P2" s="18" t="str">
        <x:v>تشمل 158 ظهورًا للـ116 التي يلزم توفيرها، و6 ظهورات للحالات 5 التي لها مرشح يحتاج حسمًا. لا تشمل الرسالة والاختبار الشامل؛ والساعات مأخوذة من صفوف الخطط، لا من لاحقة الرمز.</x:v>
      </x:c>
    </x:row>
    <x:row r="4" ht="32" customHeight="1">
      <x:c r="A4" s="53" t="str">
        <x:v>م</x:v>
      </x:c>
      <x:c r="B4" s="54" t="str">
        <x:v>المجموعة</x:v>
      </x:c>
      <x:c r="C4" s="54" t="str">
        <x:v>رمز المقرر</x:v>
      </x:c>
      <x:c r="D4" s="54" t="str">
        <x:v>اسم المقرر</x:v>
      </x:c>
      <x:c r="E4" s="54" t="str">
        <x:v>البرنامج</x:v>
      </x:c>
      <x:c r="F4" s="54" t="str">
        <x:v>الدرجة</x:v>
      </x:c>
      <x:c r="G4" s="54" t="str">
        <x:v>نوع الخطة</x:v>
      </x:c>
      <x:c r="H4" s="54" t="str">
        <x:v>الإصدار</x:v>
      </x:c>
      <x:c r="I4" s="54" t="str">
        <x:v>المستوى</x:v>
      </x:c>
      <x:c r="J4" s="54" t="str">
        <x:v>الفصل</x:v>
      </x:c>
      <x:c r="K4" s="54" t="str">
        <x:v>الساعات</x:v>
      </x:c>
      <x:c r="L4" s="54" t="str">
        <x:v>نوع المقرر</x:v>
      </x:c>
      <x:c r="M4" s="54" t="str">
        <x:v>الفئة</x:v>
      </x:c>
      <x:c r="N4" s="54" t="str">
        <x:v>القسم</x:v>
      </x:c>
      <x:c r="O4" s="54" t="str">
        <x:v>ملف مصدر الخطة</x:v>
      </x:c>
      <x:c r="P4" s="55" t="str">
        <x:v>مفتاح الهوية</x:v>
      </x:c>
    </x:row>
    <x:row r="5" ht="34" customHeight="1">
      <x:c r="A5" s="123" t="n">
        <x:v>1</x:v>
      </x:c>
      <x:c r="B5" s="61" t="str">
        <x:v>مرشح يحتاج حسم</x:v>
      </x:c>
      <x:c r="C5" s="98" t="str">
        <x:v>2003347-2</x:v>
      </x:c>
      <x:c r="D5" s="61" t="str">
        <x:v>نظام البيئة</x:v>
      </x:c>
      <x:c r="E5" s="61" t="str">
        <x:v>الأنظمة</x:v>
      </x:c>
      <x:c r="F5" s="98" t="str">
        <x:v>بكالوريوس</x:v>
      </x:c>
      <x:c r="G5" s="98" t="str">
        <x:v>حديثة</x:v>
      </x:c>
      <x:c r="H5" s="123" t="n">
        <x:v>47</x:v>
      </x:c>
      <x:c r="I5" s="123" t="n">
        <x:v>8</x:v>
      </x:c>
      <x:c r="J5" s="123" t="str"/>
      <x:c r="K5" s="123" t="n">
        <x:v>2</x:v>
      </x:c>
      <x:c r="L5" s="61" t="str">
        <x:v>نظري</x:v>
      </x:c>
      <x:c r="M5" s="61" t="str">
        <x:v>اختيارية القسم</x:v>
      </x:c>
      <x:c r="N5" s="61" t="str">
        <x:v>قسم الأنظمة</x:v>
      </x:c>
      <x:c r="O5" s="61" t="str">
        <x:v>الأنظمة 47.pdf</x:v>
      </x:c>
      <x:c r="P5" s="121" t="str">
        <x:v>2003347-2||نظام البيئة</x:v>
      </x:c>
    </x:row>
    <x:row r="6" ht="34" customHeight="1">
      <x:c r="A6" s="124" t="n">
        <x:v>2</x:v>
      </x:c>
      <x:c r="B6" s="62" t="str">
        <x:v>مرشح يحتاج حسم</x:v>
      </x:c>
      <x:c r="C6" s="99" t="str">
        <x:v>2002235-2</x:v>
      </x:c>
      <x:c r="D6" s="62" t="str">
        <x:v>القرآن الكريم (٧)</x:v>
      </x:c>
      <x:c r="E6" s="62" t="str">
        <x:v>الدراسات الإسلامية</x:v>
      </x:c>
      <x:c r="F6" s="99" t="str">
        <x:v>بكالوريوس</x:v>
      </x:c>
      <x:c r="G6" s="99" t="str">
        <x:v>حديثة</x:v>
      </x:c>
      <x:c r="H6" s="124" t="n">
        <x:v>47</x:v>
      </x:c>
      <x:c r="I6" s="124" t="n">
        <x:v>7</x:v>
      </x:c>
      <x:c r="J6" s="124" t="str"/>
      <x:c r="K6" s="124" t="n">
        <x:v>2</x:v>
      </x:c>
      <x:c r="L6" s="62" t="str">
        <x:v>نظري</x:v>
      </x:c>
      <x:c r="M6" s="62" t="str">
        <x:v>إجبارية القسم</x:v>
      </x:c>
      <x:c r="N6" s="62" t="str">
        <x:v>قسم الثقافة الإسلامية</x:v>
      </x:c>
      <x:c r="O6" s="62" t="str">
        <x:v>الإسلامية 47.pdf</x:v>
      </x:c>
      <x:c r="P6" s="122" t="str">
        <x:v>2002235-2||القرآن الكريم (٧)</x:v>
      </x:c>
    </x:row>
    <x:row r="7" ht="34" customHeight="1">
      <x:c r="A7" s="124" t="n">
        <x:v>3</x:v>
      </x:c>
      <x:c r="B7" s="62" t="str">
        <x:v>مرشح يحتاج حسم</x:v>
      </x:c>
      <x:c r="C7" s="99" t="str">
        <x:v>20014201-2</x:v>
      </x:c>
      <x:c r="D7" s="62" t="str">
        <x:v>التدريبات العملية</x:v>
      </x:c>
      <x:c r="E7" s="62" t="str">
        <x:v>الشريعة</x:v>
      </x:c>
      <x:c r="F7" s="99" t="str">
        <x:v>بكالوريوس</x:v>
      </x:c>
      <x:c r="G7" s="99" t="str">
        <x:v>قديمة</x:v>
      </x:c>
      <x:c r="H7" s="124" t="n">
        <x:v>39</x:v>
      </x:c>
      <x:c r="I7" s="124" t="n">
        <x:v>8</x:v>
      </x:c>
      <x:c r="J7" s="124" t="str"/>
      <x:c r="K7" s="124" t="n">
        <x:v>2</x:v>
      </x:c>
      <x:c r="L7" s="62" t="str">
        <x:v>نظري</x:v>
      </x:c>
      <x:c r="M7" s="62" t="str">
        <x:v>إجبارية القسم</x:v>
      </x:c>
      <x:c r="N7" s="62" t="str">
        <x:v>قسم الشريعة</x:v>
      </x:c>
      <x:c r="O7" s="62" t="str">
        <x:v>الشريعة 39.pdf</x:v>
      </x:c>
      <x:c r="P7" s="122" t="str">
        <x:v>20014201-2||التدريبات العملية</x:v>
      </x:c>
    </x:row>
    <x:row r="8" ht="34" customHeight="1">
      <x:c r="A8" s="124" t="n">
        <x:v>4</x:v>
      </x:c>
      <x:c r="B8" s="62" t="str">
        <x:v>مرشح يحتاج حسم</x:v>
      </x:c>
      <x:c r="C8" s="99" t="str">
        <x:v>2001106-2</x:v>
      </x:c>
      <x:c r="D8" s="62" t="str">
        <x:v>السيرة النبوية</x:v>
      </x:c>
      <x:c r="E8" s="62" t="str">
        <x:v>القراءات</x:v>
      </x:c>
      <x:c r="F8" s="99" t="str">
        <x:v>بكالوريوس</x:v>
      </x:c>
      <x:c r="G8" s="99" t="str">
        <x:v>قديمة</x:v>
      </x:c>
      <x:c r="H8" s="124" t="n">
        <x:v>38</x:v>
      </x:c>
      <x:c r="I8" s="124" t="n">
        <x:v>1</x:v>
      </x:c>
      <x:c r="J8" s="124" t="str"/>
      <x:c r="K8" s="124" t="n">
        <x:v>2</x:v>
      </x:c>
      <x:c r="L8" s="62" t="str">
        <x:v>نظري</x:v>
      </x:c>
      <x:c r="M8" s="62" t="str">
        <x:v>إجبارية القسم</x:v>
      </x:c>
      <x:c r="N8" s="62" t="str">
        <x:v>قسم القراءات</x:v>
      </x:c>
      <x:c r="O8" s="62" t="str">
        <x:v>القراءات 38.pdf</x:v>
      </x:c>
      <x:c r="P8" s="122" t="str">
        <x:v>2001106-2||السيرة النبوية</x:v>
      </x:c>
    </x:row>
    <x:row r="9" ht="34" customHeight="1">
      <x:c r="A9" s="124" t="n">
        <x:v>5</x:v>
      </x:c>
      <x:c r="B9" s="62" t="str">
        <x:v>مرشح يحتاج حسم</x:v>
      </x:c>
      <x:c r="C9" s="99" t="str">
        <x:v>20024102-2</x:v>
      </x:c>
      <x:c r="D9" s="62" t="str">
        <x:v>تفسير جزء عم</x:v>
      </x:c>
      <x:c r="E9" s="62" t="str">
        <x:v>القرآن وعلومه</x:v>
      </x:c>
      <x:c r="F9" s="99" t="str">
        <x:v>بكالوريوس</x:v>
      </x:c>
      <x:c r="G9" s="99" t="str">
        <x:v>حديثة</x:v>
      </x:c>
      <x:c r="H9" s="124" t="n">
        <x:v>47</x:v>
      </x:c>
      <x:c r="I9" s="124" t="n">
        <x:v>7</x:v>
      </x:c>
      <x:c r="J9" s="124" t="str"/>
      <x:c r="K9" s="124" t="n">
        <x:v>2</x:v>
      </x:c>
      <x:c r="L9" s="62" t="str">
        <x:v>نظري</x:v>
      </x:c>
      <x:c r="M9" s="62" t="str">
        <x:v>إجبارية القسم</x:v>
      </x:c>
      <x:c r="N9" s="62" t="str">
        <x:v>قسم القراءات</x:v>
      </x:c>
      <x:c r="O9" s="62" t="str">
        <x:v>القرآن وعلومه 47.pdf</x:v>
      </x:c>
      <x:c r="P9" s="122" t="str">
        <x:v>20024102-2||تفسير جزء عم</x:v>
      </x:c>
    </x:row>
    <x:row r="10" ht="34" customHeight="1">
      <x:c r="A10" s="124" t="n">
        <x:v>6</x:v>
      </x:c>
      <x:c r="B10" s="62" t="str">
        <x:v>مرشح يحتاج حسم</x:v>
      </x:c>
      <x:c r="C10" s="99" t="str">
        <x:v>2001106-2</x:v>
      </x:c>
      <x:c r="D10" s="62" t="str">
        <x:v>السيرة النبوية</x:v>
      </x:c>
      <x:c r="E10" s="62" t="str">
        <x:v>القرآن وعلومه</x:v>
      </x:c>
      <x:c r="F10" s="99" t="str">
        <x:v>بكالوريوس</x:v>
      </x:c>
      <x:c r="G10" s="99" t="str">
        <x:v>قديمة</x:v>
      </x:c>
      <x:c r="H10" s="124" t="n">
        <x:v>39</x:v>
      </x:c>
      <x:c r="I10" s="124" t="n">
        <x:v>1</x:v>
      </x:c>
      <x:c r="J10" s="124" t="str"/>
      <x:c r="K10" s="124" t="n">
        <x:v>2</x:v>
      </x:c>
      <x:c r="L10" s="62" t="str">
        <x:v>نظري</x:v>
      </x:c>
      <x:c r="M10" s="62" t="str">
        <x:v>إجبارية القسم</x:v>
      </x:c>
      <x:c r="N10" s="62" t="str">
        <x:v>قسم القراءات</x:v>
      </x:c>
      <x:c r="O10" s="62" t="str">
        <x:v>القرآن وعلومه 39.pdf</x:v>
      </x:c>
      <x:c r="P10" s="122" t="str">
        <x:v>2001106-2||السيرة النبوية</x:v>
      </x:c>
    </x:row>
    <x:row r="11" ht="34" customHeight="1">
      <x:c r="A11" s="124" t="n">
        <x:v>7</x:v>
      </x:c>
      <x:c r="B11" s="62" t="str">
        <x:v>مفقود بلا مصدر</x:v>
      </x:c>
      <x:c r="C11" s="99" t="str">
        <x:v>2001901-2</x:v>
      </x:c>
      <x:c r="D11" s="62" t="str">
        <x:v>دراسات مقاصدية</x:v>
      </x:c>
      <x:c r="E11" s="62" t="str">
        <x:v>أصول الفقه</x:v>
      </x:c>
      <x:c r="F11" s="99" t="str">
        <x:v>دكتوراه</x:v>
      </x:c>
      <x:c r="G11" s="99" t="str">
        <x:v>حديثة</x:v>
      </x:c>
      <x:c r="H11" s="124" t="n">
        <x:v>1</x:v>
      </x:c>
      <x:c r="I11" s="124" t="n">
        <x:v>1</x:v>
      </x:c>
      <x:c r="J11" s="124" t="str"/>
      <x:c r="K11" s="124" t="n">
        <x:v>2</x:v>
      </x:c>
      <x:c r="L11" s="62" t="str">
        <x:v>نظري</x:v>
      </x:c>
      <x:c r="M11" s="62" t="str">
        <x:v>إجبارية القسم</x:v>
      </x:c>
      <x:c r="N11" s="62" t="str">
        <x:v>الشريعة</x:v>
      </x:c>
      <x:c r="O11" s="62" t="str">
        <x:v>الدكتوراه في أصول الفقه.pdf</x:v>
      </x:c>
      <x:c r="P11" s="122" t="str">
        <x:v>2001901-2||دراسات مقاصدية</x:v>
      </x:c>
    </x:row>
    <x:row r="12" ht="34" customHeight="1">
      <x:c r="A12" s="124" t="n">
        <x:v>8</x:v>
      </x:c>
      <x:c r="B12" s="62" t="str">
        <x:v>مفقود بلا مصدر</x:v>
      </x:c>
      <x:c r="C12" s="99" t="str">
        <x:v>2001902-3</x:v>
      </x:c>
      <x:c r="D12" s="62" t="str">
        <x:v>دراسة تحليلية أصولية</x:v>
      </x:c>
      <x:c r="E12" s="62" t="str">
        <x:v>أصول الفقه</x:v>
      </x:c>
      <x:c r="F12" s="99" t="str">
        <x:v>دكتوراه</x:v>
      </x:c>
      <x:c r="G12" s="99" t="str">
        <x:v>حديثة</x:v>
      </x:c>
      <x:c r="H12" s="124" t="n">
        <x:v>1</x:v>
      </x:c>
      <x:c r="I12" s="124" t="n">
        <x:v>1</x:v>
      </x:c>
      <x:c r="J12" s="124" t="str"/>
      <x:c r="K12" s="124" t="n">
        <x:v>3</x:v>
      </x:c>
      <x:c r="L12" s="62" t="str">
        <x:v>نظري</x:v>
      </x:c>
      <x:c r="M12" s="62" t="str">
        <x:v>إجبارية القسم</x:v>
      </x:c>
      <x:c r="N12" s="62" t="str">
        <x:v>الشريعة</x:v>
      </x:c>
      <x:c r="O12" s="62" t="str">
        <x:v>الدكتوراه في أصول الفقه.pdf</x:v>
      </x:c>
      <x:c r="P12" s="122" t="str">
        <x:v>2001902-3||دراسة تحليلية أصولية</x:v>
      </x:c>
    </x:row>
    <x:row r="13" ht="34" customHeight="1">
      <x:c r="A13" s="124" t="n">
        <x:v>9</x:v>
      </x:c>
      <x:c r="B13" s="62" t="str">
        <x:v>مفقود بلا مصدر</x:v>
      </x:c>
      <x:c r="C13" s="99" t="str">
        <x:v>2001903-4</x:v>
      </x:c>
      <x:c r="D13" s="62" t="str">
        <x:v>الاجتهاد الاستدلالي والفتوى</x:v>
      </x:c>
      <x:c r="E13" s="62" t="str">
        <x:v>أصول الفقه</x:v>
      </x:c>
      <x:c r="F13" s="99" t="str">
        <x:v>دكتوراه</x:v>
      </x:c>
      <x:c r="G13" s="99" t="str">
        <x:v>حديثة</x:v>
      </x:c>
      <x:c r="H13" s="124" t="n">
        <x:v>1</x:v>
      </x:c>
      <x:c r="I13" s="124" t="n">
        <x:v>1</x:v>
      </x:c>
      <x:c r="J13" s="124" t="str"/>
      <x:c r="K13" s="124" t="n">
        <x:v>4</x:v>
      </x:c>
      <x:c r="L13" s="62" t="str">
        <x:v>نظري</x:v>
      </x:c>
      <x:c r="M13" s="62" t="str">
        <x:v>إجبارية القسم</x:v>
      </x:c>
      <x:c r="N13" s="62" t="str">
        <x:v>الشريعة</x:v>
      </x:c>
      <x:c r="O13" s="62" t="str">
        <x:v>الدكتوراه في أصول الفقه.pdf</x:v>
      </x:c>
      <x:c r="P13" s="122" t="str">
        <x:v>2001903-4||الاجتهاد الاستدلالي والفتوى</x:v>
      </x:c>
    </x:row>
    <x:row r="14" ht="34" customHeight="1">
      <x:c r="A14" s="124" t="n">
        <x:v>10</x:v>
      </x:c>
      <x:c r="B14" s="62" t="str">
        <x:v>مفقود بلا مصدر</x:v>
      </x:c>
      <x:c r="C14" s="99" t="str">
        <x:v>2003114-3</x:v>
      </x:c>
      <x:c r="D14" s="62" t="str">
        <x:v>القانون الدستوري</x:v>
      </x:c>
      <x:c r="E14" s="62" t="str">
        <x:v>الأنظمة</x:v>
      </x:c>
      <x:c r="F14" s="99" t="str">
        <x:v>بكالوريوس</x:v>
      </x:c>
      <x:c r="G14" s="99" t="str">
        <x:v>حديثة</x:v>
      </x:c>
      <x:c r="H14" s="124" t="n">
        <x:v>47</x:v>
      </x:c>
      <x:c r="I14" s="124" t="n">
        <x:v>1</x:v>
      </x:c>
      <x:c r="J14" s="124" t="str"/>
      <x:c r="K14" s="124" t="n">
        <x:v>3</x:v>
      </x:c>
      <x:c r="L14" s="62" t="str">
        <x:v>نظري</x:v>
      </x:c>
      <x:c r="M14" s="62" t="str">
        <x:v>متطلبات الكلية</x:v>
      </x:c>
      <x:c r="N14" s="62" t="str">
        <x:v>قسم الأنظمة</x:v>
      </x:c>
      <x:c r="O14" s="62" t="str">
        <x:v>الأنظمة 47.pdf</x:v>
      </x:c>
      <x:c r="P14" s="122" t="str">
        <x:v>2003114-3||القانون الدستوري</x:v>
      </x:c>
    </x:row>
    <x:row r="15" ht="34" customHeight="1">
      <x:c r="A15" s="124" t="n">
        <x:v>11</x:v>
      </x:c>
      <x:c r="B15" s="62" t="str">
        <x:v>مفقود بلا مصدر</x:v>
      </x:c>
      <x:c r="C15" s="99" t="str">
        <x:v>2003228-3</x:v>
      </x:c>
      <x:c r="D15" s="62" t="str">
        <x:v>القانون المالي</x:v>
      </x:c>
      <x:c r="E15" s="62" t="str">
        <x:v>الأنظمة</x:v>
      </x:c>
      <x:c r="F15" s="99" t="str">
        <x:v>بكالوريوس</x:v>
      </x:c>
      <x:c r="G15" s="99" t="str">
        <x:v>حديثة</x:v>
      </x:c>
      <x:c r="H15" s="124" t="n">
        <x:v>47</x:v>
      </x:c>
      <x:c r="I15" s="124" t="n">
        <x:v>4</x:v>
      </x:c>
      <x:c r="J15" s="124" t="str"/>
      <x:c r="K15" s="124" t="n">
        <x:v>3</x:v>
      </x:c>
      <x:c r="L15" s="62" t="str">
        <x:v>نظري</x:v>
      </x:c>
      <x:c r="M15" s="62" t="str">
        <x:v>إجبارية القسم</x:v>
      </x:c>
      <x:c r="N15" s="62" t="str">
        <x:v>قسم الأنظمة</x:v>
      </x:c>
      <x:c r="O15" s="62" t="str">
        <x:v>الأنظمة 47.pdf</x:v>
      </x:c>
      <x:c r="P15" s="122" t="str">
        <x:v>2003228-3||القانون المالي</x:v>
      </x:c>
    </x:row>
    <x:row r="16" ht="34" customHeight="1">
      <x:c r="A16" s="124" t="n">
        <x:v>12</x:v>
      </x:c>
      <x:c r="B16" s="62" t="str">
        <x:v>مفقود بلا مصدر</x:v>
      </x:c>
      <x:c r="C16" s="99" t="str">
        <x:v>2003229-3</x:v>
      </x:c>
      <x:c r="D16" s="62" t="str">
        <x:v>تحليل النصوص القانونية</x:v>
      </x:c>
      <x:c r="E16" s="62" t="str">
        <x:v>الأنظمة</x:v>
      </x:c>
      <x:c r="F16" s="99" t="str">
        <x:v>بكالوريوس</x:v>
      </x:c>
      <x:c r="G16" s="99" t="str">
        <x:v>حديثة</x:v>
      </x:c>
      <x:c r="H16" s="124" t="n">
        <x:v>47</x:v>
      </x:c>
      <x:c r="I16" s="124" t="n">
        <x:v>4</x:v>
      </x:c>
      <x:c r="J16" s="124" t="str"/>
      <x:c r="K16" s="124" t="n">
        <x:v>3</x:v>
      </x:c>
      <x:c r="L16" s="62" t="str">
        <x:v>نظري</x:v>
      </x:c>
      <x:c r="M16" s="62" t="str">
        <x:v>إجبارية القسم</x:v>
      </x:c>
      <x:c r="N16" s="62" t="str">
        <x:v>قسم الأنظمة</x:v>
      </x:c>
      <x:c r="O16" s="62" t="str">
        <x:v>الأنظمة 47.pdf</x:v>
      </x:c>
      <x:c r="P16" s="122" t="str">
        <x:v>2003229-3||تحليل النصوص القانونية</x:v>
      </x:c>
    </x:row>
    <x:row r="17" ht="34" customHeight="1">
      <x:c r="A17" s="124" t="n">
        <x:v>13</x:v>
      </x:c>
      <x:c r="B17" s="62" t="str">
        <x:v>مفقود بلا مصدر</x:v>
      </x:c>
      <x:c r="C17" s="99" t="str">
        <x:v>2003383-3</x:v>
      </x:c>
      <x:c r="D17" s="62" t="str">
        <x:v>المحاماة وأخلاقيات المهنة</x:v>
      </x:c>
      <x:c r="E17" s="62" t="str">
        <x:v>الأنظمة</x:v>
      </x:c>
      <x:c r="F17" s="99" t="str">
        <x:v>بكالوريوس</x:v>
      </x:c>
      <x:c r="G17" s="99" t="str">
        <x:v>حديثة</x:v>
      </x:c>
      <x:c r="H17" s="124" t="n">
        <x:v>47</x:v>
      </x:c>
      <x:c r="I17" s="124" t="n">
        <x:v>5</x:v>
      </x:c>
      <x:c r="J17" s="124" t="str"/>
      <x:c r="K17" s="124" t="n">
        <x:v>3</x:v>
      </x:c>
      <x:c r="L17" s="62" t="str">
        <x:v>نظري</x:v>
      </x:c>
      <x:c r="M17" s="62" t="str">
        <x:v>إجبارية القسم</x:v>
      </x:c>
      <x:c r="N17" s="62" t="str">
        <x:v>قسم الأنظمة</x:v>
      </x:c>
      <x:c r="O17" s="62" t="str">
        <x:v>الأنظمة 47.pdf</x:v>
      </x:c>
      <x:c r="P17" s="122" t="str">
        <x:v>2003383-3||المحاماة وأخلاقيات المهنة</x:v>
      </x:c>
    </x:row>
    <x:row r="18" ht="34" customHeight="1">
      <x:c r="A18" s="124" t="n">
        <x:v>14</x:v>
      </x:c>
      <x:c r="B18" s="62" t="str">
        <x:v>مفقود بلا مصدر</x:v>
      </x:c>
      <x:c r="C18" s="99" t="str">
        <x:v>2003204-3</x:v>
      </x:c>
      <x:c r="D18" s="62" t="str">
        <x:v>الكاديمية القانونية الكتابة</x:v>
      </x:c>
      <x:c r="E18" s="62" t="str">
        <x:v>الأنظمة</x:v>
      </x:c>
      <x:c r="F18" s="99" t="str">
        <x:v>بكالوريوس</x:v>
      </x:c>
      <x:c r="G18" s="99" t="str">
        <x:v>حديثة</x:v>
      </x:c>
      <x:c r="H18" s="124" t="n">
        <x:v>47</x:v>
      </x:c>
      <x:c r="I18" s="124" t="n">
        <x:v>6</x:v>
      </x:c>
      <x:c r="J18" s="124" t="str"/>
      <x:c r="K18" s="124" t="n">
        <x:v>3</x:v>
      </x:c>
      <x:c r="L18" s="62" t="str">
        <x:v>نظري</x:v>
      </x:c>
      <x:c r="M18" s="62" t="str">
        <x:v>إجبارية القسم</x:v>
      </x:c>
      <x:c r="N18" s="62" t="str">
        <x:v>قسم الأنظمة</x:v>
      </x:c>
      <x:c r="O18" s="62" t="str">
        <x:v>الأنظمة 47.pdf</x:v>
      </x:c>
      <x:c r="P18" s="122" t="str">
        <x:v>2003204-3||الكاديمية القانونية الكتابة</x:v>
      </x:c>
    </x:row>
    <x:row r="19" ht="34" customHeight="1">
      <x:c r="A19" s="124" t="n">
        <x:v>15</x:v>
      </x:c>
      <x:c r="B19" s="62" t="str">
        <x:v>مفقود بلا مصدر</x:v>
      </x:c>
      <x:c r="C19" s="99" t="str">
        <x:v>2003205-3</x:v>
      </x:c>
      <x:c r="D19" s="62" t="str">
        <x:v>العقود التجارية الدولية</x:v>
      </x:c>
      <x:c r="E19" s="62" t="str">
        <x:v>الأنظمة</x:v>
      </x:c>
      <x:c r="F19" s="99" t="str">
        <x:v>بكالوريوس</x:v>
      </x:c>
      <x:c r="G19" s="99" t="str">
        <x:v>حديثة</x:v>
      </x:c>
      <x:c r="H19" s="124" t="n">
        <x:v>47</x:v>
      </x:c>
      <x:c r="I19" s="124" t="n">
        <x:v>6</x:v>
      </x:c>
      <x:c r="J19" s="124" t="str"/>
      <x:c r="K19" s="124" t="n">
        <x:v>3</x:v>
      </x:c>
      <x:c r="L19" s="62" t="str">
        <x:v>نظري</x:v>
      </x:c>
      <x:c r="M19" s="62" t="str">
        <x:v>إجبارية القسم</x:v>
      </x:c>
      <x:c r="N19" s="62" t="str">
        <x:v>قسم الأنظمة</x:v>
      </x:c>
      <x:c r="O19" s="62" t="str">
        <x:v>الأنظمة 47.pdf</x:v>
      </x:c>
      <x:c r="P19" s="122" t="str">
        <x:v>2003205-3||العقود التجارية الدولية</x:v>
      </x:c>
    </x:row>
    <x:row r="20" ht="34" customHeight="1">
      <x:c r="A20" s="124" t="n">
        <x:v>16</x:v>
      </x:c>
      <x:c r="B20" s="62" t="str">
        <x:v>مفقود بلا مصدر</x:v>
      </x:c>
      <x:c r="C20" s="99" t="str">
        <x:v>20033201-2</x:v>
      </x:c>
      <x:c r="D20" s="62" t="str">
        <x:v>القانون الدبلوماسي والقنصلي</x:v>
      </x:c>
      <x:c r="E20" s="62" t="str">
        <x:v>الأنظمة</x:v>
      </x:c>
      <x:c r="F20" s="99" t="str">
        <x:v>بكالوريوس</x:v>
      </x:c>
      <x:c r="G20" s="99" t="str">
        <x:v>حديثة</x:v>
      </x:c>
      <x:c r="H20" s="124" t="n">
        <x:v>47</x:v>
      </x:c>
      <x:c r="I20" s="124" t="n">
        <x:v>6</x:v>
      </x:c>
      <x:c r="J20" s="124" t="str"/>
      <x:c r="K20" s="124" t="n">
        <x:v>2</x:v>
      </x:c>
      <x:c r="L20" s="62" t="str">
        <x:v>نظري</x:v>
      </x:c>
      <x:c r="M20" s="62" t="str">
        <x:v>اختيارية القسم</x:v>
      </x:c>
      <x:c r="N20" s="62" t="str">
        <x:v>قسم الأنظمة</x:v>
      </x:c>
      <x:c r="O20" s="62" t="str">
        <x:v>الأنظمة 47.pdf</x:v>
      </x:c>
      <x:c r="P20" s="122" t="str">
        <x:v>20033201-2||القانون الدبلوماسي والقنصلي</x:v>
      </x:c>
    </x:row>
    <x:row r="21" ht="34" customHeight="1">
      <x:c r="A21" s="124" t="n">
        <x:v>17</x:v>
      </x:c>
      <x:c r="B21" s="62" t="str">
        <x:v>مفقود بلا مصدر</x:v>
      </x:c>
      <x:c r="C21" s="99" t="str">
        <x:v>2003102-3</x:v>
      </x:c>
      <x:c r="D21" s="62" t="str">
        <x:v>قانون العمل والتأمينات الاجتماعية</x:v>
      </x:c>
      <x:c r="E21" s="62" t="str">
        <x:v>الأنظمة</x:v>
      </x:c>
      <x:c r="F21" s="99" t="str">
        <x:v>بكالوريوس</x:v>
      </x:c>
      <x:c r="G21" s="99" t="str">
        <x:v>حديثة</x:v>
      </x:c>
      <x:c r="H21" s="124" t="n">
        <x:v>47</x:v>
      </x:c>
      <x:c r="I21" s="124" t="n">
        <x:v>7</x:v>
      </x:c>
      <x:c r="J21" s="124" t="str"/>
      <x:c r="K21" s="124" t="n">
        <x:v>3</x:v>
      </x:c>
      <x:c r="L21" s="62" t="str">
        <x:v>نظري</x:v>
      </x:c>
      <x:c r="M21" s="62" t="str">
        <x:v>إجبارية القسم</x:v>
      </x:c>
      <x:c r="N21" s="62" t="str">
        <x:v>قسم الأنظمة</x:v>
      </x:c>
      <x:c r="O21" s="62" t="str">
        <x:v>الأنظمة 47.pdf</x:v>
      </x:c>
      <x:c r="P21" s="122" t="str">
        <x:v>2003102-3||قانون العمل والتأمينات الاجتماعية</x:v>
      </x:c>
    </x:row>
    <x:row r="22" ht="34" customHeight="1">
      <x:c r="A22" s="124" t="n">
        <x:v>18</x:v>
      </x:c>
      <x:c r="B22" s="62" t="str">
        <x:v>مفقود بلا مصدر</x:v>
      </x:c>
      <x:c r="C22" s="99" t="str">
        <x:v>2003103-3</x:v>
      </x:c>
      <x:c r="D22" s="62" t="str">
        <x:v>الكتابة المهنية القانونية</x:v>
      </x:c>
      <x:c r="E22" s="62" t="str">
        <x:v>الأنظمة</x:v>
      </x:c>
      <x:c r="F22" s="99" t="str">
        <x:v>بكالوريوس</x:v>
      </x:c>
      <x:c r="G22" s="99" t="str">
        <x:v>حديثة</x:v>
      </x:c>
      <x:c r="H22" s="124" t="n">
        <x:v>47</x:v>
      </x:c>
      <x:c r="I22" s="124" t="n">
        <x:v>7</x:v>
      </x:c>
      <x:c r="J22" s="124" t="str"/>
      <x:c r="K22" s="124" t="n">
        <x:v>3</x:v>
      </x:c>
      <x:c r="L22" s="62" t="str">
        <x:v>نظري</x:v>
      </x:c>
      <x:c r="M22" s="62" t="str">
        <x:v>إجبارية القسم</x:v>
      </x:c>
      <x:c r="N22" s="62" t="str">
        <x:v>قسم الأنظمة</x:v>
      </x:c>
      <x:c r="O22" s="62" t="str">
        <x:v>الأنظمة 47.pdf</x:v>
      </x:c>
      <x:c r="P22" s="122" t="str">
        <x:v>2003103-3||الكتابة المهنية القانونية</x:v>
      </x:c>
    </x:row>
    <x:row r="23" ht="34" customHeight="1">
      <x:c r="A23" s="124" t="n">
        <x:v>19</x:v>
      </x:c>
      <x:c r="B23" s="62" t="str">
        <x:v>مفقود بلا مصدر</x:v>
      </x:c>
      <x:c r="C23" s="99" t="str">
        <x:v>2003106-3</x:v>
      </x:c>
      <x:c r="D23" s="62" t="str">
        <x:v>تدريبات قانونية ١</x:v>
      </x:c>
      <x:c r="E23" s="62" t="str">
        <x:v>الأنظمة</x:v>
      </x:c>
      <x:c r="F23" s="99" t="str">
        <x:v>بكالوريوس</x:v>
      </x:c>
      <x:c r="G23" s="99" t="str">
        <x:v>حديثة</x:v>
      </x:c>
      <x:c r="H23" s="124" t="n">
        <x:v>47</x:v>
      </x:c>
      <x:c r="I23" s="124" t="n">
        <x:v>7</x:v>
      </x:c>
      <x:c r="J23" s="124" t="str"/>
      <x:c r="K23" s="124" t="n">
        <x:v>3</x:v>
      </x:c>
      <x:c r="L23" s="62" t="str">
        <x:v>تدريب</x:v>
      </x:c>
      <x:c r="M23" s="62" t="str">
        <x:v>إجبارية القسم</x:v>
      </x:c>
      <x:c r="N23" s="62" t="str">
        <x:v>قسم الأنظمة</x:v>
      </x:c>
      <x:c r="O23" s="62" t="str">
        <x:v>الأنظمة 47.pdf</x:v>
      </x:c>
      <x:c r="P23" s="122" t="str">
        <x:v>2003106-3||تدريبات قانونية ١</x:v>
      </x:c>
    </x:row>
    <x:row r="24" ht="34" customHeight="1">
      <x:c r="A24" s="124" t="n">
        <x:v>20</x:v>
      </x:c>
      <x:c r="B24" s="62" t="str">
        <x:v>مفقود بلا مصدر</x:v>
      </x:c>
      <x:c r="C24" s="99" t="str">
        <x:v>2003107-3</x:v>
      </x:c>
      <x:c r="D24" s="62" t="str">
        <x:v>تدريبات قانونية ٢</x:v>
      </x:c>
      <x:c r="E24" s="62" t="str">
        <x:v>الأنظمة</x:v>
      </x:c>
      <x:c r="F24" s="99" t="str">
        <x:v>بكالوريوس</x:v>
      </x:c>
      <x:c r="G24" s="99" t="str">
        <x:v>حديثة</x:v>
      </x:c>
      <x:c r="H24" s="124" t="n">
        <x:v>47</x:v>
      </x:c>
      <x:c r="I24" s="124" t="n">
        <x:v>8</x:v>
      </x:c>
      <x:c r="J24" s="124" t="str"/>
      <x:c r="K24" s="124" t="n">
        <x:v>3</x:v>
      </x:c>
      <x:c r="L24" s="62" t="str">
        <x:v>تدريب</x:v>
      </x:c>
      <x:c r="M24" s="62" t="str">
        <x:v>إجبارية القسم</x:v>
      </x:c>
      <x:c r="N24" s="62" t="str">
        <x:v>قسم الأنظمة</x:v>
      </x:c>
      <x:c r="O24" s="62" t="str">
        <x:v>الأنظمة 47.pdf</x:v>
      </x:c>
      <x:c r="P24" s="122" t="str">
        <x:v>2003107-3||تدريبات قانونية ٢</x:v>
      </x:c>
    </x:row>
    <x:row r="25" ht="34" customHeight="1">
      <x:c r="A25" s="124" t="n">
        <x:v>21</x:v>
      </x:c>
      <x:c r="B25" s="62" t="str">
        <x:v>مفقود بلا مصدر</x:v>
      </x:c>
      <x:c r="C25" s="99" t="str">
        <x:v>2003108-2</x:v>
      </x:c>
      <x:c r="D25" s="62" t="str">
        <x:v>قانون التحكيم</x:v>
      </x:c>
      <x:c r="E25" s="62" t="str">
        <x:v>الأنظمة</x:v>
      </x:c>
      <x:c r="F25" s="99" t="str">
        <x:v>بكالوريوس</x:v>
      </x:c>
      <x:c r="G25" s="99" t="str">
        <x:v>حديثة</x:v>
      </x:c>
      <x:c r="H25" s="124" t="n">
        <x:v>47</x:v>
      </x:c>
      <x:c r="I25" s="124" t="n">
        <x:v>8</x:v>
      </x:c>
      <x:c r="J25" s="124" t="str"/>
      <x:c r="K25" s="124" t="n">
        <x:v>2</x:v>
      </x:c>
      <x:c r="L25" s="62" t="str">
        <x:v>نظري</x:v>
      </x:c>
      <x:c r="M25" s="62" t="str">
        <x:v>إجبارية القسم</x:v>
      </x:c>
      <x:c r="N25" s="62" t="str">
        <x:v>قسم الأنظمة</x:v>
      </x:c>
      <x:c r="O25" s="62" t="str">
        <x:v>الأنظمة 47.pdf</x:v>
      </x:c>
      <x:c r="P25" s="122" t="str">
        <x:v>2003108-2||قانون التحكيم</x:v>
      </x:c>
    </x:row>
    <x:row r="26" ht="34" customHeight="1">
      <x:c r="A26" s="124" t="n">
        <x:v>22</x:v>
      </x:c>
      <x:c r="B26" s="62" t="str">
        <x:v>مفقود بلا مصدر</x:v>
      </x:c>
      <x:c r="C26" s="99" t="str">
        <x:v>20034202-2</x:v>
      </x:c>
      <x:c r="D26" s="62" t="str">
        <x:v>القانون الصحي</x:v>
      </x:c>
      <x:c r="E26" s="62" t="str">
        <x:v>الأنظمة</x:v>
      </x:c>
      <x:c r="F26" s="99" t="str">
        <x:v>بكالوريوس</x:v>
      </x:c>
      <x:c r="G26" s="99" t="str">
        <x:v>حديثة</x:v>
      </x:c>
      <x:c r="H26" s="124" t="n">
        <x:v>47</x:v>
      </x:c>
      <x:c r="I26" s="124" t="n">
        <x:v>8</x:v>
      </x:c>
      <x:c r="J26" s="124" t="str"/>
      <x:c r="K26" s="124" t="n">
        <x:v>2</x:v>
      </x:c>
      <x:c r="L26" s="62" t="str">
        <x:v>نظري</x:v>
      </x:c>
      <x:c r="M26" s="62" t="str">
        <x:v>اختيارية القسم</x:v>
      </x:c>
      <x:c r="N26" s="62" t="str">
        <x:v>قسم الأنظمة</x:v>
      </x:c>
      <x:c r="O26" s="62" t="str">
        <x:v>الأنظمة 47.pdf</x:v>
      </x:c>
      <x:c r="P26" s="122" t="str">
        <x:v>20034202-2||القانون الصحي</x:v>
      </x:c>
    </x:row>
    <x:row r="27" ht="34" customHeight="1">
      <x:c r="A27" s="124" t="n">
        <x:v>23</x:v>
      </x:c>
      <x:c r="B27" s="62" t="str">
        <x:v>مفقود بلا مصدر</x:v>
      </x:c>
      <x:c r="C27" s="99" t="str">
        <x:v>2001105-2</x:v>
      </x:c>
      <x:c r="D27" s="62" t="str">
        <x:v>المدخل لدراسة الفقه الإسلامي</x:v>
      </x:c>
      <x:c r="E27" s="62" t="str">
        <x:v>الأنظمة</x:v>
      </x:c>
      <x:c r="F27" s="99" t="str">
        <x:v>بكالوريوس</x:v>
      </x:c>
      <x:c r="G27" s="99" t="str">
        <x:v>قديمة</x:v>
      </x:c>
      <x:c r="H27" s="124" t="n">
        <x:v>38</x:v>
      </x:c>
      <x:c r="I27" s="124" t="n">
        <x:v>1</x:v>
      </x:c>
      <x:c r="J27" s="124" t="str"/>
      <x:c r="K27" s="124" t="n">
        <x:v>2</x:v>
      </x:c>
      <x:c r="L27" s="62" t="str">
        <x:v>نظري</x:v>
      </x:c>
      <x:c r="M27" s="62" t="str">
        <x:v>إجبارية القسم</x:v>
      </x:c>
      <x:c r="N27" s="62" t="str">
        <x:v>قسم الأنظمة</x:v>
      </x:c>
      <x:c r="O27" s="62" t="str">
        <x:v>الأنظمة 38.pdf</x:v>
      </x:c>
      <x:c r="P27" s="122" t="str">
        <x:v>2001105-2||المدخل لدراسة الفقه الإسلامي</x:v>
      </x:c>
    </x:row>
    <x:row r="28" ht="34" customHeight="1">
      <x:c r="A28" s="124" t="n">
        <x:v>24</x:v>
      </x:c>
      <x:c r="B28" s="62" t="str">
        <x:v>مفقود بلا مصدر</x:v>
      </x:c>
      <x:c r="C28" s="99" t="str">
        <x:v>2001113-2</x:v>
      </x:c>
      <x:c r="D28" s="62" t="str">
        <x:v>أصول الفقه (1)</x:v>
      </x:c>
      <x:c r="E28" s="62" t="str">
        <x:v>الأنظمة</x:v>
      </x:c>
      <x:c r="F28" s="99" t="str">
        <x:v>بكالوريوس</x:v>
      </x:c>
      <x:c r="G28" s="99" t="str">
        <x:v>قديمة</x:v>
      </x:c>
      <x:c r="H28" s="124" t="n">
        <x:v>38</x:v>
      </x:c>
      <x:c r="I28" s="124" t="n">
        <x:v>2</x:v>
      </x:c>
      <x:c r="J28" s="124" t="str"/>
      <x:c r="K28" s="124" t="n">
        <x:v>2</x:v>
      </x:c>
      <x:c r="L28" s="62" t="str">
        <x:v>نظري</x:v>
      </x:c>
      <x:c r="M28" s="62" t="str">
        <x:v>إجبارية القسم</x:v>
      </x:c>
      <x:c r="N28" s="62" t="str">
        <x:v>قسم الأنظمة</x:v>
      </x:c>
      <x:c r="O28" s="62" t="str">
        <x:v>الأنظمة 38.pdf</x:v>
      </x:c>
      <x:c r="P28" s="122" t="str">
        <x:v>2001113-2||أصول الفقه (1)</x:v>
      </x:c>
    </x:row>
    <x:row r="29" ht="34" customHeight="1">
      <x:c r="A29" s="124" t="n">
        <x:v>25</x:v>
      </x:c>
      <x:c r="B29" s="62" t="str">
        <x:v>مفقود بلا مصدر</x:v>
      </x:c>
      <x:c r="C29" s="99" t="str">
        <x:v>2001328-2</x:v>
      </x:c>
      <x:c r="D29" s="62" t="str">
        <x:v>القواعد الفقهية</x:v>
      </x:c>
      <x:c r="E29" s="62" t="str">
        <x:v>الأنظمة</x:v>
      </x:c>
      <x:c r="F29" s="99" t="str">
        <x:v>بكالوريوس</x:v>
      </x:c>
      <x:c r="G29" s="99" t="str">
        <x:v>قديمة</x:v>
      </x:c>
      <x:c r="H29" s="124" t="n">
        <x:v>38</x:v>
      </x:c>
      <x:c r="I29" s="124" t="n">
        <x:v>3</x:v>
      </x:c>
      <x:c r="J29" s="124" t="str"/>
      <x:c r="K29" s="124" t="n">
        <x:v>2</x:v>
      </x:c>
      <x:c r="L29" s="62" t="str">
        <x:v>نظري</x:v>
      </x:c>
      <x:c r="M29" s="62" t="str">
        <x:v>إجبارية القسم</x:v>
      </x:c>
      <x:c r="N29" s="62" t="str">
        <x:v>قسم الأنظمة</x:v>
      </x:c>
      <x:c r="O29" s="62" t="str">
        <x:v>الأنظمة 38.pdf</x:v>
      </x:c>
      <x:c r="P29" s="122" t="str">
        <x:v>2001328-2||القواعد الفقهية</x:v>
      </x:c>
    </x:row>
    <x:row r="30" ht="34" customHeight="1">
      <x:c r="A30" s="124" t="n">
        <x:v>26</x:v>
      </x:c>
      <x:c r="B30" s="62" t="str">
        <x:v>مفقود بلا مصدر</x:v>
      </x:c>
      <x:c r="C30" s="99" t="str">
        <x:v>2001330-2</x:v>
      </x:c>
      <x:c r="D30" s="62" t="str">
        <x:v>أصول الفقه (2)</x:v>
      </x:c>
      <x:c r="E30" s="62" t="str">
        <x:v>الأنظمة</x:v>
      </x:c>
      <x:c r="F30" s="99" t="str">
        <x:v>بكالوريوس</x:v>
      </x:c>
      <x:c r="G30" s="99" t="str">
        <x:v>قديمة</x:v>
      </x:c>
      <x:c r="H30" s="124" t="n">
        <x:v>38</x:v>
      </x:c>
      <x:c r="I30" s="124" t="n">
        <x:v>3</x:v>
      </x:c>
      <x:c r="J30" s="124" t="str"/>
      <x:c r="K30" s="124" t="n">
        <x:v>2</x:v>
      </x:c>
      <x:c r="L30" s="62" t="str">
        <x:v>نظري</x:v>
      </x:c>
      <x:c r="M30" s="62" t="str">
        <x:v>إجبارية القسم</x:v>
      </x:c>
      <x:c r="N30" s="62" t="str">
        <x:v>قسم الأنظمة</x:v>
      </x:c>
      <x:c r="O30" s="62" t="str">
        <x:v>الأنظمة 38.pdf</x:v>
      </x:c>
      <x:c r="P30" s="122" t="str">
        <x:v>2001330-2||أصول الفقه (2)</x:v>
      </x:c>
    </x:row>
    <x:row r="31" ht="34" customHeight="1">
      <x:c r="A31" s="124" t="n">
        <x:v>27</x:v>
      </x:c>
      <x:c r="B31" s="62" t="str">
        <x:v>مفقود بلا مصدر</x:v>
      </x:c>
      <x:c r="C31" s="99" t="str">
        <x:v>2001318-3</x:v>
      </x:c>
      <x:c r="D31" s="62" t="str">
        <x:v>فقه الجنايات</x:v>
      </x:c>
      <x:c r="E31" s="62" t="str">
        <x:v>الأنظمة</x:v>
      </x:c>
      <x:c r="F31" s="99" t="str">
        <x:v>بكالوريوس</x:v>
      </x:c>
      <x:c r="G31" s="99" t="str">
        <x:v>قديمة</x:v>
      </x:c>
      <x:c r="H31" s="124" t="n">
        <x:v>38</x:v>
      </x:c>
      <x:c r="I31" s="124" t="n">
        <x:v>5</x:v>
      </x:c>
      <x:c r="J31" s="124" t="str"/>
      <x:c r="K31" s="124" t="n">
        <x:v>3</x:v>
      </x:c>
      <x:c r="L31" s="62" t="str">
        <x:v>نظري</x:v>
      </x:c>
      <x:c r="M31" s="62" t="str">
        <x:v>إجبارية القسم</x:v>
      </x:c>
      <x:c r="N31" s="62" t="str">
        <x:v>قسم الأنظمة</x:v>
      </x:c>
      <x:c r="O31" s="62" t="str">
        <x:v>الأنظمة 38.pdf</x:v>
      </x:c>
      <x:c r="P31" s="122" t="str">
        <x:v>2001318-3||فقه الجنايات</x:v>
      </x:c>
    </x:row>
    <x:row r="32" ht="34" customHeight="1">
      <x:c r="A32" s="124" t="n">
        <x:v>28</x:v>
      </x:c>
      <x:c r="B32" s="62" t="str">
        <x:v>مفقود بلا مصدر</x:v>
      </x:c>
      <x:c r="C32" s="99" t="str">
        <x:v>2001327-3</x:v>
      </x:c>
      <x:c r="D32" s="62" t="str">
        <x:v>فقه الأحوال الشخصية</x:v>
      </x:c>
      <x:c r="E32" s="62" t="str">
        <x:v>الأنظمة</x:v>
      </x:c>
      <x:c r="F32" s="99" t="str">
        <x:v>بكالوريوس</x:v>
      </x:c>
      <x:c r="G32" s="99" t="str">
        <x:v>قديمة</x:v>
      </x:c>
      <x:c r="H32" s="124" t="n">
        <x:v>38</x:v>
      </x:c>
      <x:c r="I32" s="124" t="n">
        <x:v>5</x:v>
      </x:c>
      <x:c r="J32" s="124" t="str"/>
      <x:c r="K32" s="124" t="n">
        <x:v>3</x:v>
      </x:c>
      <x:c r="L32" s="62" t="str">
        <x:v>نظري</x:v>
      </x:c>
      <x:c r="M32" s="62" t="str">
        <x:v>إجبارية القسم</x:v>
      </x:c>
      <x:c r="N32" s="62" t="str">
        <x:v>قسم الأنظمة</x:v>
      </x:c>
      <x:c r="O32" s="62" t="str">
        <x:v>الأنظمة 38.pdf</x:v>
      </x:c>
      <x:c r="P32" s="122" t="str">
        <x:v>2001327-3||فقه الأحوال الشخصية</x:v>
      </x:c>
    </x:row>
    <x:row r="33" ht="34" customHeight="1">
      <x:c r="A33" s="124" t="n">
        <x:v>29</x:v>
      </x:c>
      <x:c r="B33" s="62" t="str">
        <x:v>مفقود بلا مصدر</x:v>
      </x:c>
      <x:c r="C33" s="99" t="str">
        <x:v>2001220-3</x:v>
      </x:c>
      <x:c r="D33" s="62" t="str">
        <x:v>فقه المعاملات</x:v>
      </x:c>
      <x:c r="E33" s="62" t="str">
        <x:v>الأنظمة</x:v>
      </x:c>
      <x:c r="F33" s="99" t="str">
        <x:v>بكالوريوس</x:v>
      </x:c>
      <x:c r="G33" s="99" t="str">
        <x:v>قديمة</x:v>
      </x:c>
      <x:c r="H33" s="124" t="n">
        <x:v>38</x:v>
      </x:c>
      <x:c r="I33" s="124" t="n">
        <x:v>6</x:v>
      </x:c>
      <x:c r="J33" s="124" t="str"/>
      <x:c r="K33" s="124" t="n">
        <x:v>3</x:v>
      </x:c>
      <x:c r="L33" s="62" t="str">
        <x:v>نظري</x:v>
      </x:c>
      <x:c r="M33" s="62" t="str">
        <x:v>إجبارية القسم</x:v>
      </x:c>
      <x:c r="N33" s="62" t="str">
        <x:v>قسم الأنظمة</x:v>
      </x:c>
      <x:c r="O33" s="62" t="str">
        <x:v>الأنظمة 38.pdf</x:v>
      </x:c>
      <x:c r="P33" s="122" t="str">
        <x:v>2001220-3||فقه المعاملات</x:v>
      </x:c>
    </x:row>
    <x:row r="34" ht="34" customHeight="1">
      <x:c r="A34" s="124" t="n">
        <x:v>30</x:v>
      </x:c>
      <x:c r="B34" s="62" t="str">
        <x:v>مفقود بلا مصدر</x:v>
      </x:c>
      <x:c r="C34" s="99" t="str">
        <x:v>2003255-3</x:v>
      </x:c>
      <x:c r="D34" s="62" t="str">
        <x:v>الملكية الفكرية</x:v>
      </x:c>
      <x:c r="E34" s="62" t="str">
        <x:v>الأنظمة</x:v>
      </x:c>
      <x:c r="F34" s="99" t="str">
        <x:v>بكالوريوس</x:v>
      </x:c>
      <x:c r="G34" s="99" t="str">
        <x:v>قديمة</x:v>
      </x:c>
      <x:c r="H34" s="124" t="n">
        <x:v>38</x:v>
      </x:c>
      <x:c r="I34" s="124" t="n">
        <x:v>6</x:v>
      </x:c>
      <x:c r="J34" s="124" t="str"/>
      <x:c r="K34" s="124" t="n">
        <x:v>2</x:v>
      </x:c>
      <x:c r="L34" s="62" t="str">
        <x:v>نظري</x:v>
      </x:c>
      <x:c r="M34" s="62" t="str">
        <x:v>إجبارية القسم</x:v>
      </x:c>
      <x:c r="N34" s="62" t="str">
        <x:v>قسم الأنظمة</x:v>
      </x:c>
      <x:c r="O34" s="62" t="str">
        <x:v>الأنظمة 38.pdf</x:v>
      </x:c>
      <x:c r="P34" s="122" t="str">
        <x:v>2003255-3||الملكية الفكرية</x:v>
      </x:c>
    </x:row>
    <x:row r="35" ht="34" customHeight="1">
      <x:c r="A35" s="124" t="n">
        <x:v>31</x:v>
      </x:c>
      <x:c r="B35" s="62" t="str">
        <x:v>مفقود بلا مصدر</x:v>
      </x:c>
      <x:c r="C35" s="99" t="str">
        <x:v>2001401-2</x:v>
      </x:c>
      <x:c r="D35" s="62" t="str">
        <x:v>المواريث والوصايا</x:v>
      </x:c>
      <x:c r="E35" s="62" t="str">
        <x:v>الأنظمة</x:v>
      </x:c>
      <x:c r="F35" s="99" t="str">
        <x:v>بكالوريوس</x:v>
      </x:c>
      <x:c r="G35" s="99" t="str">
        <x:v>قديمة</x:v>
      </x:c>
      <x:c r="H35" s="124" t="n">
        <x:v>38</x:v>
      </x:c>
      <x:c r="I35" s="124" t="n">
        <x:v>7</x:v>
      </x:c>
      <x:c r="J35" s="124" t="str"/>
      <x:c r="K35" s="124" t="n">
        <x:v>2</x:v>
      </x:c>
      <x:c r="L35" s="62" t="str">
        <x:v>نظري</x:v>
      </x:c>
      <x:c r="M35" s="62" t="str">
        <x:v>إجبارية القسم</x:v>
      </x:c>
      <x:c r="N35" s="62" t="str">
        <x:v>قسم الأنظمة</x:v>
      </x:c>
      <x:c r="O35" s="62" t="str">
        <x:v>الأنظمة 38.pdf</x:v>
      </x:c>
      <x:c r="P35" s="122" t="str">
        <x:v>2001401-2||المواريث والوصايا</x:v>
      </x:c>
    </x:row>
    <x:row r="36" ht="34" customHeight="1">
      <x:c r="A36" s="124" t="n">
        <x:v>32</x:v>
      </x:c>
      <x:c r="B36" s="62" t="str">
        <x:v>مفقود بلا مصدر</x:v>
      </x:c>
      <x:c r="C36" s="99" t="str">
        <x:v>2003402-2</x:v>
      </x:c>
      <x:c r="D36" s="62" t="str">
        <x:v>مادة اختيارية للقسم</x:v>
      </x:c>
      <x:c r="E36" s="62" t="str">
        <x:v>الأنظمة</x:v>
      </x:c>
      <x:c r="F36" s="99" t="str">
        <x:v>بكالوريوس</x:v>
      </x:c>
      <x:c r="G36" s="99" t="str">
        <x:v>قديمة</x:v>
      </x:c>
      <x:c r="H36" s="124" t="n">
        <x:v>38</x:v>
      </x:c>
      <x:c r="I36" s="124" t="n">
        <x:v>7</x:v>
      </x:c>
      <x:c r="J36" s="124" t="str"/>
      <x:c r="K36" s="124" t="n">
        <x:v>2</x:v>
      </x:c>
      <x:c r="L36" s="62" t="str">
        <x:v>نظري</x:v>
      </x:c>
      <x:c r="M36" s="62" t="str">
        <x:v>اختيارية القسم</x:v>
      </x:c>
      <x:c r="N36" s="62" t="str">
        <x:v>قسم الأنظمة</x:v>
      </x:c>
      <x:c r="O36" s="62" t="str">
        <x:v>الأنظمة 38.pdf</x:v>
      </x:c>
      <x:c r="P36" s="122" t="str">
        <x:v>2003402-2||مادة اختيارية للقسم</x:v>
      </x:c>
    </x:row>
    <x:row r="37" ht="34" customHeight="1">
      <x:c r="A37" s="124" t="n">
        <x:v>33</x:v>
      </x:c>
      <x:c r="B37" s="62" t="str">
        <x:v>مفقود بلا مصدر</x:v>
      </x:c>
      <x:c r="C37" s="99" t="str">
        <x:v>2004252-4</x:v>
      </x:c>
      <x:c r="D37" s="62" t="str">
        <x:v>الحديث التحليلي (1)</x:v>
      </x:c>
      <x:c r="E37" s="62" t="str">
        <x:v>الدراسات الإسلامية</x:v>
      </x:c>
      <x:c r="F37" s="99" t="str">
        <x:v>بكالوريوس</x:v>
      </x:c>
      <x:c r="G37" s="99" t="str">
        <x:v>حديثة</x:v>
      </x:c>
      <x:c r="H37" s="124" t="n">
        <x:v>47</x:v>
      </x:c>
      <x:c r="I37" s="124" t="n">
        <x:v>1</x:v>
      </x:c>
      <x:c r="J37" s="124" t="str"/>
      <x:c r="K37" s="124" t="n">
        <x:v>4</x:v>
      </x:c>
      <x:c r="L37" s="62" t="str">
        <x:v>نظري</x:v>
      </x:c>
      <x:c r="M37" s="62" t="str">
        <x:v>إجبارية القسم</x:v>
      </x:c>
      <x:c r="N37" s="62" t="str">
        <x:v>قسم الثقافة الإسلامية</x:v>
      </x:c>
      <x:c r="O37" s="62" t="str">
        <x:v>الإسلامية 47.pdf</x:v>
      </x:c>
      <x:c r="P37" s="122" t="str">
        <x:v>2004252-4||الحديث التحليلي (1)</x:v>
      </x:c>
    </x:row>
    <x:row r="38" ht="34" customHeight="1">
      <x:c r="A38" s="124" t="n">
        <x:v>34</x:v>
      </x:c>
      <x:c r="B38" s="62" t="str">
        <x:v>مفقود بلا مصدر</x:v>
      </x:c>
      <x:c r="C38" s="99" t="str">
        <x:v>2001301-3</x:v>
      </x:c>
      <x:c r="D38" s="62" t="str">
        <x:v>الفقه (1)</x:v>
      </x:c>
      <x:c r="E38" s="62" t="str">
        <x:v>الدراسات الإسلامية</x:v>
      </x:c>
      <x:c r="F38" s="99" t="str">
        <x:v>بكالوريوس</x:v>
      </x:c>
      <x:c r="G38" s="99" t="str">
        <x:v>حديثة</x:v>
      </x:c>
      <x:c r="H38" s="124" t="n">
        <x:v>47</x:v>
      </x:c>
      <x:c r="I38" s="124" t="n">
        <x:v>2</x:v>
      </x:c>
      <x:c r="J38" s="124" t="str"/>
      <x:c r="K38" s="124" t="n">
        <x:v>3</x:v>
      </x:c>
      <x:c r="L38" s="62" t="str">
        <x:v>نظري</x:v>
      </x:c>
      <x:c r="M38" s="62" t="str">
        <x:v>إجبارية القسم</x:v>
      </x:c>
      <x:c r="N38" s="62" t="str">
        <x:v>قسم الثقافة الإسلامية</x:v>
      </x:c>
      <x:c r="O38" s="62" t="str">
        <x:v>الإسلامية 47.pdf</x:v>
      </x:c>
      <x:c r="P38" s="122" t="str">
        <x:v>2001301-3||الفقه (1)</x:v>
      </x:c>
    </x:row>
    <x:row r="39" ht="34" customHeight="1">
      <x:c r="A39" s="124" t="n">
        <x:v>35</x:v>
      </x:c>
      <x:c r="B39" s="62" t="str">
        <x:v>مفقود بلا مصدر</x:v>
      </x:c>
      <x:c r="C39" s="99" t="str">
        <x:v>2002202-2</x:v>
      </x:c>
      <x:c r="D39" s="62" t="str">
        <x:v>القرآن الكريم (2)</x:v>
      </x:c>
      <x:c r="E39" s="62" t="str">
        <x:v>الدراسات الإسلامية</x:v>
      </x:c>
      <x:c r="F39" s="99" t="str">
        <x:v>بكالوريوس</x:v>
      </x:c>
      <x:c r="G39" s="99" t="str">
        <x:v>حديثة</x:v>
      </x:c>
      <x:c r="H39" s="124" t="n">
        <x:v>47</x:v>
      </x:c>
      <x:c r="I39" s="124" t="n">
        <x:v>2</x:v>
      </x:c>
      <x:c r="J39" s="124" t="str"/>
      <x:c r="K39" s="124" t="n">
        <x:v>2</x:v>
      </x:c>
      <x:c r="L39" s="62" t="str">
        <x:v>نظري</x:v>
      </x:c>
      <x:c r="M39" s="62" t="str">
        <x:v>إجبارية القسم</x:v>
      </x:c>
      <x:c r="N39" s="62" t="str">
        <x:v>قسم الثقافة الإسلامية</x:v>
      </x:c>
      <x:c r="O39" s="62" t="str">
        <x:v>الإسلامية 47.pdf</x:v>
      </x:c>
      <x:c r="P39" s="122" t="str">
        <x:v>2002202-2||القرآن الكريم (2)</x:v>
      </x:c>
    </x:row>
    <x:row r="40" ht="34" customHeight="1">
      <x:c r="A40" s="124" t="n">
        <x:v>36</x:v>
      </x:c>
      <x:c r="B40" s="62" t="str">
        <x:v>مفقود بلا مصدر</x:v>
      </x:c>
      <x:c r="C40" s="99" t="str">
        <x:v>2004211-4</x:v>
      </x:c>
      <x:c r="D40" s="62" t="str">
        <x:v>العقيدة (1)</x:v>
      </x:c>
      <x:c r="E40" s="62" t="str">
        <x:v>الدراسات الإسلامية</x:v>
      </x:c>
      <x:c r="F40" s="99" t="str">
        <x:v>بكالوريوس</x:v>
      </x:c>
      <x:c r="G40" s="99" t="str">
        <x:v>حديثة</x:v>
      </x:c>
      <x:c r="H40" s="124" t="n">
        <x:v>47</x:v>
      </x:c>
      <x:c r="I40" s="124" t="n">
        <x:v>2</x:v>
      </x:c>
      <x:c r="J40" s="124" t="str"/>
      <x:c r="K40" s="124" t="n">
        <x:v>4</x:v>
      </x:c>
      <x:c r="L40" s="62" t="str">
        <x:v>نظري</x:v>
      </x:c>
      <x:c r="M40" s="62" t="str">
        <x:v>إجبارية القسم</x:v>
      </x:c>
      <x:c r="N40" s="62" t="str">
        <x:v>قسم الثقافة الإسلامية</x:v>
      </x:c>
      <x:c r="O40" s="62" t="str">
        <x:v>الإسلامية 47.pdf</x:v>
      </x:c>
      <x:c r="P40" s="122" t="str">
        <x:v>2004211-4||العقيدة (1)</x:v>
      </x:c>
    </x:row>
    <x:row r="41" ht="34" customHeight="1">
      <x:c r="A41" s="124" t="n">
        <x:v>37</x:v>
      </x:c>
      <x:c r="B41" s="62" t="str">
        <x:v>مفقود بلا مصدر</x:v>
      </x:c>
      <x:c r="C41" s="99" t="str">
        <x:v>2001302-3</x:v>
      </x:c>
      <x:c r="D41" s="62" t="str">
        <x:v>الفقه (٢)</x:v>
      </x:c>
      <x:c r="E41" s="62" t="str">
        <x:v>الدراسات الإسلامية</x:v>
      </x:c>
      <x:c r="F41" s="99" t="str">
        <x:v>بكالوريوس</x:v>
      </x:c>
      <x:c r="G41" s="99" t="str">
        <x:v>حديثة</x:v>
      </x:c>
      <x:c r="H41" s="124" t="n">
        <x:v>47</x:v>
      </x:c>
      <x:c r="I41" s="124" t="n">
        <x:v>3</x:v>
      </x:c>
      <x:c r="J41" s="124" t="str"/>
      <x:c r="K41" s="124" t="n">
        <x:v>3</x:v>
      </x:c>
      <x:c r="L41" s="62" t="str">
        <x:v>نظري</x:v>
      </x:c>
      <x:c r="M41" s="62" t="str">
        <x:v>إجبارية القسم</x:v>
      </x:c>
      <x:c r="N41" s="62" t="str">
        <x:v>قسم الثقافة الإسلامية</x:v>
      </x:c>
      <x:c r="O41" s="62" t="str">
        <x:v>الإسلامية 47.pdf</x:v>
      </x:c>
      <x:c r="P41" s="122" t="str">
        <x:v>2001302-3||الفقه (٢)</x:v>
      </x:c>
    </x:row>
    <x:row r="42" ht="34" customHeight="1">
      <x:c r="A42" s="124" t="n">
        <x:v>38</x:v>
      </x:c>
      <x:c r="B42" s="62" t="str">
        <x:v>مفقود بلا مصدر</x:v>
      </x:c>
      <x:c r="C42" s="99" t="str">
        <x:v>2004256-2</x:v>
      </x:c>
      <x:c r="D42" s="62" t="str">
        <x:v>الحديث التحليلي (٢)</x:v>
      </x:c>
      <x:c r="E42" s="62" t="str">
        <x:v>الدراسات الإسلامية</x:v>
      </x:c>
      <x:c r="F42" s="99" t="str">
        <x:v>بكالوريوس</x:v>
      </x:c>
      <x:c r="G42" s="99" t="str">
        <x:v>حديثة</x:v>
      </x:c>
      <x:c r="H42" s="124" t="n">
        <x:v>47</x:v>
      </x:c>
      <x:c r="I42" s="124" t="n">
        <x:v>3</x:v>
      </x:c>
      <x:c r="J42" s="124" t="str"/>
      <x:c r="K42" s="124" t="n">
        <x:v>2</x:v>
      </x:c>
      <x:c r="L42" s="62" t="str">
        <x:v>نظري</x:v>
      </x:c>
      <x:c r="M42" s="62" t="str">
        <x:v>إجبارية القسم</x:v>
      </x:c>
      <x:c r="N42" s="62" t="str">
        <x:v>قسم الثقافة الإسلامية</x:v>
      </x:c>
      <x:c r="O42" s="62" t="str">
        <x:v>الإسلامية 47.pdf</x:v>
      </x:c>
      <x:c r="P42" s="122" t="str">
        <x:v>2004256-2||الحديث التحليلي (٢)</x:v>
      </x:c>
    </x:row>
    <x:row r="43" ht="34" customHeight="1">
      <x:c r="A43" s="124" t="n">
        <x:v>39</x:v>
      </x:c>
      <x:c r="B43" s="62" t="str">
        <x:v>مفقود بلا مصدر</x:v>
      </x:c>
      <x:c r="C43" s="99" t="str">
        <x:v>20042111-2</x:v>
      </x:c>
      <x:c r="D43" s="62" t="str">
        <x:v>العقيدة (٢)</x:v>
      </x:c>
      <x:c r="E43" s="62" t="str">
        <x:v>الدراسات الإسلامية</x:v>
      </x:c>
      <x:c r="F43" s="99" t="str">
        <x:v>بكالوريوس</x:v>
      </x:c>
      <x:c r="G43" s="99" t="str">
        <x:v>حديثة</x:v>
      </x:c>
      <x:c r="H43" s="124" t="n">
        <x:v>47</x:v>
      </x:c>
      <x:c r="I43" s="124" t="n">
        <x:v>3</x:v>
      </x:c>
      <x:c r="J43" s="124" t="str"/>
      <x:c r="K43" s="124" t="n">
        <x:v>2</x:v>
      </x:c>
      <x:c r="L43" s="62" t="str">
        <x:v>نظري</x:v>
      </x:c>
      <x:c r="M43" s="62" t="str">
        <x:v>إجبارية القسم</x:v>
      </x:c>
      <x:c r="N43" s="62" t="str">
        <x:v>قسم الثقافة الإسلامية</x:v>
      </x:c>
      <x:c r="O43" s="62" t="str">
        <x:v>الإسلامية 47.pdf</x:v>
      </x:c>
      <x:c r="P43" s="122" t="str">
        <x:v>20042111-2||العقيدة (٢)</x:v>
      </x:c>
    </x:row>
    <x:row r="44" ht="34" customHeight="1">
      <x:c r="A44" s="124" t="n">
        <x:v>40</x:v>
      </x:c>
      <x:c r="B44" s="62" t="str">
        <x:v>مفقود بلا مصدر</x:v>
      </x:c>
      <x:c r="C44" s="99" t="str">
        <x:v>2001265-3</x:v>
      </x:c>
      <x:c r="D44" s="62" t="str">
        <x:v>الفقه (٣)</x:v>
      </x:c>
      <x:c r="E44" s="62" t="str">
        <x:v>الدراسات الإسلامية</x:v>
      </x:c>
      <x:c r="F44" s="99" t="str">
        <x:v>بكالوريوس</x:v>
      </x:c>
      <x:c r="G44" s="99" t="str">
        <x:v>حديثة</x:v>
      </x:c>
      <x:c r="H44" s="124" t="n">
        <x:v>47</x:v>
      </x:c>
      <x:c r="I44" s="124" t="n">
        <x:v>4</x:v>
      </x:c>
      <x:c r="J44" s="124" t="str"/>
      <x:c r="K44" s="124" t="n">
        <x:v>3</x:v>
      </x:c>
      <x:c r="L44" s="62" t="str">
        <x:v>نظري</x:v>
      </x:c>
      <x:c r="M44" s="62" t="str">
        <x:v>إجبارية القسم</x:v>
      </x:c>
      <x:c r="N44" s="62" t="str">
        <x:v>قسم الثقافة الإسلامية</x:v>
      </x:c>
      <x:c r="O44" s="62" t="str">
        <x:v>الإسلامية 47.pdf</x:v>
      </x:c>
      <x:c r="P44" s="122" t="str">
        <x:v>2001265-3||الفقه (٣)</x:v>
      </x:c>
    </x:row>
    <x:row r="45" ht="34" customHeight="1">
      <x:c r="A45" s="124" t="n">
        <x:v>41</x:v>
      </x:c>
      <x:c r="B45" s="62" t="str">
        <x:v>مفقود بلا مصدر</x:v>
      </x:c>
      <x:c r="C45" s="99" t="str">
        <x:v>2004305-4</x:v>
      </x:c>
      <x:c r="D45" s="62" t="str">
        <x:v>أحاديث الأحكام (١)</x:v>
      </x:c>
      <x:c r="E45" s="62" t="str">
        <x:v>الدراسات الإسلامية</x:v>
      </x:c>
      <x:c r="F45" s="99" t="str">
        <x:v>بكالوريوس</x:v>
      </x:c>
      <x:c r="G45" s="99" t="str">
        <x:v>حديثة</x:v>
      </x:c>
      <x:c r="H45" s="124" t="n">
        <x:v>47</x:v>
      </x:c>
      <x:c r="I45" s="124" t="n">
        <x:v>4</x:v>
      </x:c>
      <x:c r="J45" s="124" t="str"/>
      <x:c r="K45" s="124" t="n">
        <x:v>4</x:v>
      </x:c>
      <x:c r="L45" s="62" t="str">
        <x:v>نظري</x:v>
      </x:c>
      <x:c r="M45" s="62" t="str">
        <x:v>إجبارية القسم</x:v>
      </x:c>
      <x:c r="N45" s="62" t="str">
        <x:v>قسم الثقافة الإسلامية</x:v>
      </x:c>
      <x:c r="O45" s="62" t="str">
        <x:v>الإسلامية 47.pdf</x:v>
      </x:c>
      <x:c r="P45" s="122" t="str">
        <x:v>2004305-4||أحاديث الأحكام (١)</x:v>
      </x:c>
    </x:row>
    <x:row r="46" ht="34" customHeight="1">
      <x:c r="A46" s="124" t="n">
        <x:v>42</x:v>
      </x:c>
      <x:c r="B46" s="62" t="str">
        <x:v>مفقود بلا مصدر</x:v>
      </x:c>
      <x:c r="C46" s="99" t="str">
        <x:v>2002228-2</x:v>
      </x:c>
      <x:c r="D46" s="62" t="str">
        <x:v>القرآن الكريم (٥)</x:v>
      </x:c>
      <x:c r="E46" s="62" t="str">
        <x:v>الدراسات الإسلامية</x:v>
      </x:c>
      <x:c r="F46" s="99" t="str">
        <x:v>بكالوريوس</x:v>
      </x:c>
      <x:c r="G46" s="99" t="str">
        <x:v>حديثة</x:v>
      </x:c>
      <x:c r="H46" s="124" t="n">
        <x:v>47</x:v>
      </x:c>
      <x:c r="I46" s="124" t="n">
        <x:v>5</x:v>
      </x:c>
      <x:c r="J46" s="124" t="str"/>
      <x:c r="K46" s="124" t="n">
        <x:v>2</x:v>
      </x:c>
      <x:c r="L46" s="62" t="str">
        <x:v>نظري</x:v>
      </x:c>
      <x:c r="M46" s="62" t="str">
        <x:v>إجبارية القسم</x:v>
      </x:c>
      <x:c r="N46" s="62" t="str">
        <x:v>قسم الثقافة الإسلامية</x:v>
      </x:c>
      <x:c r="O46" s="62" t="str">
        <x:v>الإسلامية 47.pdf</x:v>
      </x:c>
      <x:c r="P46" s="122" t="str">
        <x:v>2002228-2||القرآن الكريم (٥)</x:v>
      </x:c>
    </x:row>
    <x:row r="47" ht="34" customHeight="1">
      <x:c r="A47" s="124" t="n">
        <x:v>43</x:v>
      </x:c>
      <x:c r="B47" s="62" t="str">
        <x:v>مفقود بلا مصدر</x:v>
      </x:c>
      <x:c r="C47" s="99" t="str">
        <x:v>2004262-2</x:v>
      </x:c>
      <x:c r="D47" s="62" t="str">
        <x:v>الدعوة والحسبة</x:v>
      </x:c>
      <x:c r="E47" s="62" t="str">
        <x:v>الدراسات الإسلامية</x:v>
      </x:c>
      <x:c r="F47" s="99" t="str">
        <x:v>بكالوريوس</x:v>
      </x:c>
      <x:c r="G47" s="99" t="str">
        <x:v>حديثة</x:v>
      </x:c>
      <x:c r="H47" s="124" t="n">
        <x:v>47</x:v>
      </x:c>
      <x:c r="I47" s="124" t="n">
        <x:v>5</x:v>
      </x:c>
      <x:c r="J47" s="124" t="str"/>
      <x:c r="K47" s="124" t="n">
        <x:v>2</x:v>
      </x:c>
      <x:c r="L47" s="62" t="str">
        <x:v>نظري</x:v>
      </x:c>
      <x:c r="M47" s="62" t="str">
        <x:v>إجبارية القسم</x:v>
      </x:c>
      <x:c r="N47" s="62" t="str">
        <x:v>قسم الثقافة الإسلامية</x:v>
      </x:c>
      <x:c r="O47" s="62" t="str">
        <x:v>الإسلامية 47.pdf</x:v>
      </x:c>
      <x:c r="P47" s="122" t="str">
        <x:v>2004262-2||الدعوة والحسبة</x:v>
      </x:c>
    </x:row>
    <x:row r="48" ht="34" customHeight="1">
      <x:c r="A48" s="124" t="n">
        <x:v>44</x:v>
      </x:c>
      <x:c r="B48" s="62" t="str">
        <x:v>مفقود بلا مصدر</x:v>
      </x:c>
      <x:c r="C48" s="99" t="str">
        <x:v>20013101-3</x:v>
      </x:c>
      <x:c r="D48" s="62" t="str">
        <x:v>الفقه (٤)</x:v>
      </x:c>
      <x:c r="E48" s="62" t="str">
        <x:v>الدراسات الإسلامية</x:v>
      </x:c>
      <x:c r="F48" s="99" t="str">
        <x:v>بكالوريوس</x:v>
      </x:c>
      <x:c r="G48" s="99" t="str">
        <x:v>حديثة</x:v>
      </x:c>
      <x:c r="H48" s="124" t="n">
        <x:v>47</x:v>
      </x:c>
      <x:c r="I48" s="124" t="n">
        <x:v>5</x:v>
      </x:c>
      <x:c r="J48" s="124" t="str"/>
      <x:c r="K48" s="124" t="n">
        <x:v>3</x:v>
      </x:c>
      <x:c r="L48" s="62" t="str">
        <x:v>نظري</x:v>
      </x:c>
      <x:c r="M48" s="62" t="str">
        <x:v>إجبارية القسم</x:v>
      </x:c>
      <x:c r="N48" s="62" t="str">
        <x:v>قسم الثقافة الإسلامية</x:v>
      </x:c>
      <x:c r="O48" s="62" t="str">
        <x:v>الإسلامية 47.pdf</x:v>
      </x:c>
      <x:c r="P48" s="122" t="str">
        <x:v>20013101-3||الفقه (٤)</x:v>
      </x:c>
    </x:row>
    <x:row r="49" ht="34" customHeight="1">
      <x:c r="A49" s="124" t="n">
        <x:v>45</x:v>
      </x:c>
      <x:c r="B49" s="62" t="str">
        <x:v>مفقود بلا مصدر</x:v>
      </x:c>
      <x:c r="C49" s="99" t="str">
        <x:v>20043109-2</x:v>
      </x:c>
      <x:c r="D49" s="62" t="str">
        <x:v>دراسات في سير السلف</x:v>
      </x:c>
      <x:c r="E49" s="62" t="str">
        <x:v>الدراسات الإسلامية</x:v>
      </x:c>
      <x:c r="F49" s="99" t="str">
        <x:v>بكالوريوس</x:v>
      </x:c>
      <x:c r="G49" s="99" t="str">
        <x:v>حديثة</x:v>
      </x:c>
      <x:c r="H49" s="124" t="n">
        <x:v>47</x:v>
      </x:c>
      <x:c r="I49" s="124" t="n">
        <x:v>5</x:v>
      </x:c>
      <x:c r="J49" s="124" t="str"/>
      <x:c r="K49" s="124" t="n">
        <x:v>2</x:v>
      </x:c>
      <x:c r="L49" s="62" t="str">
        <x:v>نظري</x:v>
      </x:c>
      <x:c r="M49" s="62" t="str">
        <x:v>اختيارية القسم</x:v>
      </x:c>
      <x:c r="N49" s="62" t="str">
        <x:v>قسم الثقافة الإسلامية</x:v>
      </x:c>
      <x:c r="O49" s="62" t="str">
        <x:v>الإسلامية 47.pdf</x:v>
      </x:c>
      <x:c r="P49" s="122" t="str">
        <x:v>20043109-2||دراسات في سير السلف</x:v>
      </x:c>
    </x:row>
    <x:row r="50" ht="34" customHeight="1">
      <x:c r="A50" s="124" t="n">
        <x:v>46</x:v>
      </x:c>
      <x:c r="B50" s="62" t="str">
        <x:v>مفقود بلا مصدر</x:v>
      </x:c>
      <x:c r="C50" s="99" t="str">
        <x:v>20043110-2</x:v>
      </x:c>
      <x:c r="D50" s="62" t="str">
        <x:v>محاسن الإسلام</x:v>
      </x:c>
      <x:c r="E50" s="62" t="str">
        <x:v>الدراسات الإسلامية</x:v>
      </x:c>
      <x:c r="F50" s="99" t="str">
        <x:v>بكالوريوس</x:v>
      </x:c>
      <x:c r="G50" s="99" t="str">
        <x:v>حديثة</x:v>
      </x:c>
      <x:c r="H50" s="124" t="n">
        <x:v>47</x:v>
      </x:c>
      <x:c r="I50" s="124" t="n">
        <x:v>5</x:v>
      </x:c>
      <x:c r="J50" s="124" t="str"/>
      <x:c r="K50" s="124" t="n">
        <x:v>2</x:v>
      </x:c>
      <x:c r="L50" s="62" t="str">
        <x:v>نظري</x:v>
      </x:c>
      <x:c r="M50" s="62" t="str">
        <x:v>اختيارية القسم</x:v>
      </x:c>
      <x:c r="N50" s="62" t="str">
        <x:v>قسم الثقافة الإسلامية</x:v>
      </x:c>
      <x:c r="O50" s="62" t="str">
        <x:v>الإسلامية 47.pdf</x:v>
      </x:c>
      <x:c r="P50" s="122" t="str">
        <x:v>20043110-2||محاسن الإسلام</x:v>
      </x:c>
    </x:row>
    <x:row r="51" ht="34" customHeight="1">
      <x:c r="A51" s="124" t="n">
        <x:v>47</x:v>
      </x:c>
      <x:c r="B51" s="62" t="str">
        <x:v>مفقود بلا مصدر</x:v>
      </x:c>
      <x:c r="C51" s="99" t="str">
        <x:v>2002229-2</x:v>
      </x:c>
      <x:c r="D51" s="62" t="str">
        <x:v>القرآن الكريم (٦)</x:v>
      </x:c>
      <x:c r="E51" s="62" t="str">
        <x:v>الدراسات الإسلامية</x:v>
      </x:c>
      <x:c r="F51" s="99" t="str">
        <x:v>بكالوريوس</x:v>
      </x:c>
      <x:c r="G51" s="99" t="str">
        <x:v>حديثة</x:v>
      </x:c>
      <x:c r="H51" s="124" t="n">
        <x:v>47</x:v>
      </x:c>
      <x:c r="I51" s="124" t="n">
        <x:v>6</x:v>
      </x:c>
      <x:c r="J51" s="124" t="str"/>
      <x:c r="K51" s="124" t="n">
        <x:v>2</x:v>
      </x:c>
      <x:c r="L51" s="62" t="str">
        <x:v>نظري</x:v>
      </x:c>
      <x:c r="M51" s="62" t="str">
        <x:v>إجبارية القسم</x:v>
      </x:c>
      <x:c r="N51" s="62" t="str">
        <x:v>قسم الثقافة الإسلامية</x:v>
      </x:c>
      <x:c r="O51" s="62" t="str">
        <x:v>الإسلامية 47.pdf</x:v>
      </x:c>
      <x:c r="P51" s="122" t="str">
        <x:v>2002229-2||القرآن الكريم (٦)</x:v>
      </x:c>
    </x:row>
    <x:row r="52" ht="34" customHeight="1">
      <x:c r="A52" s="124" t="n">
        <x:v>48</x:v>
      </x:c>
      <x:c r="B52" s="62" t="str">
        <x:v>مفقود بلا مصدر</x:v>
      </x:c>
      <x:c r="C52" s="99" t="str">
        <x:v>2002310-3</x:v>
      </x:c>
      <x:c r="D52" s="62" t="str">
        <x:v>التفسير التحليلي (٣)</x:v>
      </x:c>
      <x:c r="E52" s="62" t="str">
        <x:v>الدراسات الإسلامية</x:v>
      </x:c>
      <x:c r="F52" s="99" t="str">
        <x:v>بكالوريوس</x:v>
      </x:c>
      <x:c r="G52" s="99" t="str">
        <x:v>حديثة</x:v>
      </x:c>
      <x:c r="H52" s="124" t="n">
        <x:v>47</x:v>
      </x:c>
      <x:c r="I52" s="124" t="n">
        <x:v>6</x:v>
      </x:c>
      <x:c r="J52" s="124" t="str"/>
      <x:c r="K52" s="124" t="n">
        <x:v>3</x:v>
      </x:c>
      <x:c r="L52" s="62" t="str">
        <x:v>نظري</x:v>
      </x:c>
      <x:c r="M52" s="62" t="str">
        <x:v>إجبارية القسم</x:v>
      </x:c>
      <x:c r="N52" s="62" t="str">
        <x:v>قسم الثقافة الإسلامية</x:v>
      </x:c>
      <x:c r="O52" s="62" t="str">
        <x:v>الإسلامية 47.pdf</x:v>
      </x:c>
      <x:c r="P52" s="122" t="str">
        <x:v>2002310-3||التفسير التحليلي (٣)</x:v>
      </x:c>
    </x:row>
    <x:row r="53" ht="34" customHeight="1">
      <x:c r="A53" s="124" t="n">
        <x:v>49</x:v>
      </x:c>
      <x:c r="B53" s="62" t="str">
        <x:v>مفقود بلا مصدر</x:v>
      </x:c>
      <x:c r="C53" s="99" t="str">
        <x:v>20013201-4</x:v>
      </x:c>
      <x:c r="D53" s="62" t="str">
        <x:v>الفقه (٥)</x:v>
      </x:c>
      <x:c r="E53" s="62" t="str">
        <x:v>الدراسات الإسلامية</x:v>
      </x:c>
      <x:c r="F53" s="99" t="str">
        <x:v>بكالوريوس</x:v>
      </x:c>
      <x:c r="G53" s="99" t="str">
        <x:v>حديثة</x:v>
      </x:c>
      <x:c r="H53" s="124" t="n">
        <x:v>47</x:v>
      </x:c>
      <x:c r="I53" s="124" t="n">
        <x:v>6</x:v>
      </x:c>
      <x:c r="J53" s="124" t="str"/>
      <x:c r="K53" s="124" t="n">
        <x:v>4</x:v>
      </x:c>
      <x:c r="L53" s="62" t="str">
        <x:v>نظري</x:v>
      </x:c>
      <x:c r="M53" s="62" t="str">
        <x:v>إجبارية القسم</x:v>
      </x:c>
      <x:c r="N53" s="62" t="str">
        <x:v>قسم الثقافة الإسلامية</x:v>
      </x:c>
      <x:c r="O53" s="62" t="str">
        <x:v>الإسلامية 47.pdf</x:v>
      </x:c>
      <x:c r="P53" s="122" t="str">
        <x:v>20013201-4||الفقه (٥)</x:v>
      </x:c>
    </x:row>
    <x:row r="54" ht="34" customHeight="1">
      <x:c r="A54" s="124" t="n">
        <x:v>50</x:v>
      </x:c>
      <x:c r="B54" s="62" t="str">
        <x:v>مفقود بلا مصدر</x:v>
      </x:c>
      <x:c r="C54" s="99" t="str">
        <x:v>2004269-4</x:v>
      </x:c>
      <x:c r="D54" s="62" t="str">
        <x:v>التخريج ودراسة الأسانيد</x:v>
      </x:c>
      <x:c r="E54" s="62" t="str">
        <x:v>الدراسات الإسلامية</x:v>
      </x:c>
      <x:c r="F54" s="99" t="str">
        <x:v>بكالوريوس</x:v>
      </x:c>
      <x:c r="G54" s="99" t="str">
        <x:v>حديثة</x:v>
      </x:c>
      <x:c r="H54" s="124" t="n">
        <x:v>47</x:v>
      </x:c>
      <x:c r="I54" s="124" t="n">
        <x:v>7</x:v>
      </x:c>
      <x:c r="J54" s="124" t="str"/>
      <x:c r="K54" s="124" t="n">
        <x:v>4</x:v>
      </x:c>
      <x:c r="L54" s="62" t="str">
        <x:v>نظري</x:v>
      </x:c>
      <x:c r="M54" s="62" t="str">
        <x:v>إجبارية القسم</x:v>
      </x:c>
      <x:c r="N54" s="62" t="str">
        <x:v>قسم الثقافة الإسلامية</x:v>
      </x:c>
      <x:c r="O54" s="62" t="str">
        <x:v>الإسلامية 47.pdf</x:v>
      </x:c>
      <x:c r="P54" s="122" t="str">
        <x:v>2004269-4||التخريج ودراسة الأسانيد</x:v>
      </x:c>
    </x:row>
    <x:row r="55" ht="34" customHeight="1">
      <x:c r="A55" s="124" t="n">
        <x:v>51</x:v>
      </x:c>
      <x:c r="B55" s="62" t="str">
        <x:v>مفقود بلا مصدر</x:v>
      </x:c>
      <x:c r="C55" s="99" t="str">
        <x:v>2004272-2</x:v>
      </x:c>
      <x:c r="D55" s="62" t="str">
        <x:v>العمل الخيري</x:v>
      </x:c>
      <x:c r="E55" s="62" t="str">
        <x:v>الدراسات الإسلامية</x:v>
      </x:c>
      <x:c r="F55" s="99" t="str">
        <x:v>بكالوريوس</x:v>
      </x:c>
      <x:c r="G55" s="99" t="str">
        <x:v>حديثة</x:v>
      </x:c>
      <x:c r="H55" s="124" t="n">
        <x:v>47</x:v>
      </x:c>
      <x:c r="I55" s="124" t="n">
        <x:v>7</x:v>
      </x:c>
      <x:c r="J55" s="124" t="str"/>
      <x:c r="K55" s="124" t="n">
        <x:v>2</x:v>
      </x:c>
      <x:c r="L55" s="62" t="str">
        <x:v>نظري</x:v>
      </x:c>
      <x:c r="M55" s="62" t="str">
        <x:v>إجبارية القسم</x:v>
      </x:c>
      <x:c r="N55" s="62" t="str">
        <x:v>قسم الثقافة الإسلامية</x:v>
      </x:c>
      <x:c r="O55" s="62" t="str">
        <x:v>الإسلامية 47.pdf</x:v>
      </x:c>
      <x:c r="P55" s="122" t="str">
        <x:v>2004272-2||العمل الخيري</x:v>
      </x:c>
    </x:row>
    <x:row r="56" ht="34" customHeight="1">
      <x:c r="A56" s="124" t="n">
        <x:v>52</x:v>
      </x:c>
      <x:c r="B56" s="62" t="str">
        <x:v>مفقود بلا مصدر</x:v>
      </x:c>
      <x:c r="C56" s="99" t="str">
        <x:v>20043111-2</x:v>
      </x:c>
      <x:c r="D56" s="62" t="str">
        <x:v>الأمن الفكري</x:v>
      </x:c>
      <x:c r="E56" s="62" t="str">
        <x:v>الدراسات الإسلامية</x:v>
      </x:c>
      <x:c r="F56" s="99" t="str">
        <x:v>بكالوريوس</x:v>
      </x:c>
      <x:c r="G56" s="99" t="str">
        <x:v>حديثة</x:v>
      </x:c>
      <x:c r="H56" s="124" t="n">
        <x:v>47</x:v>
      </x:c>
      <x:c r="I56" s="124" t="n">
        <x:v>7</x:v>
      </x:c>
      <x:c r="J56" s="124" t="str"/>
      <x:c r="K56" s="124" t="n">
        <x:v>2</x:v>
      </x:c>
      <x:c r="L56" s="62" t="str">
        <x:v>نظري</x:v>
      </x:c>
      <x:c r="M56" s="62" t="str">
        <x:v>اختيارية القسم</x:v>
      </x:c>
      <x:c r="N56" s="62" t="str">
        <x:v>قسم الثقافة الإسلامية</x:v>
      </x:c>
      <x:c r="O56" s="62" t="str">
        <x:v>الإسلامية 47.pdf</x:v>
      </x:c>
      <x:c r="P56" s="122" t="str">
        <x:v>20043111-2||الأمن الفكري</x:v>
      </x:c>
    </x:row>
    <x:row r="57" ht="34" customHeight="1">
      <x:c r="A57" s="124" t="n">
        <x:v>53</x:v>
      </x:c>
      <x:c r="B57" s="62" t="str">
        <x:v>مفقود بلا مصدر</x:v>
      </x:c>
      <x:c r="C57" s="99" t="str">
        <x:v>2001270-2</x:v>
      </x:c>
      <x:c r="D57" s="62" t="str">
        <x:v>فقه النوازل</x:v>
      </x:c>
      <x:c r="E57" s="62" t="str">
        <x:v>الدراسات الإسلامية</x:v>
      </x:c>
      <x:c r="F57" s="99" t="str">
        <x:v>بكالوريوس</x:v>
      </x:c>
      <x:c r="G57" s="99" t="str">
        <x:v>حديثة</x:v>
      </x:c>
      <x:c r="H57" s="124" t="n">
        <x:v>47</x:v>
      </x:c>
      <x:c r="I57" s="124" t="n">
        <x:v>8</x:v>
      </x:c>
      <x:c r="J57" s="124" t="str"/>
      <x:c r="K57" s="124" t="n">
        <x:v>2</x:v>
      </x:c>
      <x:c r="L57" s="62" t="str">
        <x:v>نظري</x:v>
      </x:c>
      <x:c r="M57" s="62" t="str">
        <x:v>إجبارية القسم</x:v>
      </x:c>
      <x:c r="N57" s="62" t="str">
        <x:v>قسم الثقافة الإسلامية</x:v>
      </x:c>
      <x:c r="O57" s="62" t="str">
        <x:v>الإسلامية 47.pdf</x:v>
      </x:c>
      <x:c r="P57" s="122" t="str">
        <x:v>2001270-2||فقه النوازل</x:v>
      </x:c>
    </x:row>
    <x:row r="58" ht="34" customHeight="1">
      <x:c r="A58" s="124" t="n">
        <x:v>54</x:v>
      </x:c>
      <x:c r="B58" s="62" t="str">
        <x:v>مفقود بلا مصدر</x:v>
      </x:c>
      <x:c r="C58" s="99" t="str">
        <x:v>2002236-2</x:v>
      </x:c>
      <x:c r="D58" s="62" t="str">
        <x:v>القرآن الكريم (٨)</x:v>
      </x:c>
      <x:c r="E58" s="62" t="str">
        <x:v>الدراسات الإسلامية</x:v>
      </x:c>
      <x:c r="F58" s="99" t="str">
        <x:v>بكالوريوس</x:v>
      </x:c>
      <x:c r="G58" s="99" t="str">
        <x:v>حديثة</x:v>
      </x:c>
      <x:c r="H58" s="124" t="n">
        <x:v>47</x:v>
      </x:c>
      <x:c r="I58" s="124" t="n">
        <x:v>8</x:v>
      </x:c>
      <x:c r="J58" s="124" t="str"/>
      <x:c r="K58" s="124" t="n">
        <x:v>2</x:v>
      </x:c>
      <x:c r="L58" s="62" t="str">
        <x:v>نظري</x:v>
      </x:c>
      <x:c r="M58" s="62" t="str">
        <x:v>إجبارية القسم</x:v>
      </x:c>
      <x:c r="N58" s="62" t="str">
        <x:v>قسم الثقافة الإسلامية</x:v>
      </x:c>
      <x:c r="O58" s="62" t="str">
        <x:v>الإسلامية 47.pdf</x:v>
      </x:c>
      <x:c r="P58" s="122" t="str">
        <x:v>2002236-2||القرآن الكريم (٨)</x:v>
      </x:c>
    </x:row>
    <x:row r="59" ht="34" customHeight="1">
      <x:c r="A59" s="124" t="n">
        <x:v>55</x:v>
      </x:c>
      <x:c r="B59" s="62" t="str">
        <x:v>مفقود بلا مصدر</x:v>
      </x:c>
      <x:c r="C59" s="99" t="str">
        <x:v>20044220-4</x:v>
      </x:c>
      <x:c r="D59" s="62" t="str">
        <x:v>التدريب التعاوني</x:v>
      </x:c>
      <x:c r="E59" s="62" t="str">
        <x:v>الدراسات الإسلامية</x:v>
      </x:c>
      <x:c r="F59" s="99" t="str">
        <x:v>بكالوريوس</x:v>
      </x:c>
      <x:c r="G59" s="99" t="str">
        <x:v>حديثة</x:v>
      </x:c>
      <x:c r="H59" s="124" t="n">
        <x:v>47</x:v>
      </x:c>
      <x:c r="I59" s="124" t="n">
        <x:v>8</x:v>
      </x:c>
      <x:c r="J59" s="124" t="str"/>
      <x:c r="K59" s="124" t="n">
        <x:v>4</x:v>
      </x:c>
      <x:c r="L59" s="62" t="str">
        <x:v>تدريب</x:v>
      </x:c>
      <x:c r="M59" s="62" t="str">
        <x:v>إجبارية القسم</x:v>
      </x:c>
      <x:c r="N59" s="62" t="str">
        <x:v>قسم الثقافة الإسلامية</x:v>
      </x:c>
      <x:c r="O59" s="62" t="str">
        <x:v>الإسلامية 47.pdf</x:v>
      </x:c>
      <x:c r="P59" s="122" t="str">
        <x:v>20044220-4||التدريب التعاوني</x:v>
      </x:c>
    </x:row>
    <x:row r="60" ht="34" customHeight="1">
      <x:c r="A60" s="124" t="n">
        <x:v>56</x:v>
      </x:c>
      <x:c r="B60" s="62" t="str">
        <x:v>مفقود بلا مصدر</x:v>
      </x:c>
      <x:c r="C60" s="99" t="str">
        <x:v>20041201-2</x:v>
      </x:c>
      <x:c r="D60" s="62" t="str">
        <x:v>التجويد</x:v>
      </x:c>
      <x:c r="E60" s="62" t="str">
        <x:v>الدراسات الإسلامية</x:v>
      </x:c>
      <x:c r="F60" s="99" t="str">
        <x:v>بكالوريوس</x:v>
      </x:c>
      <x:c r="G60" s="99" t="str">
        <x:v>قديمة</x:v>
      </x:c>
      <x:c r="H60" s="124" t="n">
        <x:v>39</x:v>
      </x:c>
      <x:c r="I60" s="124" t="n">
        <x:v>2</x:v>
      </x:c>
      <x:c r="J60" s="124" t="str"/>
      <x:c r="K60" s="124" t="n">
        <x:v>2</x:v>
      </x:c>
      <x:c r="L60" s="62" t="str">
        <x:v>نظري</x:v>
      </x:c>
      <x:c r="M60" s="62" t="str">
        <x:v>إجبارية القسم</x:v>
      </x:c>
      <x:c r="N60" s="62" t="str">
        <x:v>قسم الثقافة الإسلامية</x:v>
      </x:c>
      <x:c r="O60" s="62" t="str">
        <x:v>الدراسات الإسلامية 39.pdf</x:v>
      </x:c>
      <x:c r="P60" s="122" t="str">
        <x:v>20041201-2||التجويد</x:v>
      </x:c>
    </x:row>
    <x:row r="61" ht="34" customHeight="1">
      <x:c r="A61" s="124" t="n">
        <x:v>57</x:v>
      </x:c>
      <x:c r="B61" s="62" t="str">
        <x:v>مفقود بلا مصدر</x:v>
      </x:c>
      <x:c r="C61" s="99" t="str">
        <x:v>20041203-2</x:v>
      </x:c>
      <x:c r="D61" s="62" t="str">
        <x:v>التفسير التحليلي (1)</x:v>
      </x:c>
      <x:c r="E61" s="62" t="str">
        <x:v>الدراسات الإسلامية</x:v>
      </x:c>
      <x:c r="F61" s="99" t="str">
        <x:v>بكالوريوس</x:v>
      </x:c>
      <x:c r="G61" s="99" t="str">
        <x:v>قديمة</x:v>
      </x:c>
      <x:c r="H61" s="124" t="n">
        <x:v>39</x:v>
      </x:c>
      <x:c r="I61" s="124" t="n">
        <x:v>2</x:v>
      </x:c>
      <x:c r="J61" s="124" t="str"/>
      <x:c r="K61" s="124" t="n">
        <x:v>2</x:v>
      </x:c>
      <x:c r="L61" s="62" t="str">
        <x:v>نظري</x:v>
      </x:c>
      <x:c r="M61" s="62" t="str">
        <x:v>إجبارية القسم</x:v>
      </x:c>
      <x:c r="N61" s="62" t="str">
        <x:v>قسم الثقافة الإسلامية</x:v>
      </x:c>
      <x:c r="O61" s="62" t="str">
        <x:v>الدراسات الإسلامية 39.pdf</x:v>
      </x:c>
      <x:c r="P61" s="122" t="str">
        <x:v>20041203-2||التفسير التحليلي (1)</x:v>
      </x:c>
    </x:row>
    <x:row r="62" ht="34" customHeight="1">
      <x:c r="A62" s="124" t="n">
        <x:v>58</x:v>
      </x:c>
      <x:c r="B62" s="62" t="str">
        <x:v>مفقود بلا مصدر</x:v>
      </x:c>
      <x:c r="C62" s="99" t="str">
        <x:v>2003220-2</x:v>
      </x:c>
      <x:c r="D62" s="62" t="str">
        <x:v>المدخل لدراسة الأنظمة</x:v>
      </x:c>
      <x:c r="E62" s="62" t="str">
        <x:v>الدراسات الإسلامية</x:v>
      </x:c>
      <x:c r="F62" s="99" t="str">
        <x:v>بكالوريوس</x:v>
      </x:c>
      <x:c r="G62" s="99" t="str">
        <x:v>قديمة</x:v>
      </x:c>
      <x:c r="H62" s="124" t="n">
        <x:v>39</x:v>
      </x:c>
      <x:c r="I62" s="124" t="n">
        <x:v>3</x:v>
      </x:c>
      <x:c r="J62" s="124" t="str"/>
      <x:c r="K62" s="124" t="n">
        <x:v>2</x:v>
      </x:c>
      <x:c r="L62" s="62" t="str">
        <x:v>نظري</x:v>
      </x:c>
      <x:c r="M62" s="62" t="str">
        <x:v>إجبارية القسم</x:v>
      </x:c>
      <x:c r="N62" s="62" t="str">
        <x:v>قسم الثقافة الإسلامية</x:v>
      </x:c>
      <x:c r="O62" s="62" t="str">
        <x:v>الدراسات الإسلامية 39.pdf</x:v>
      </x:c>
      <x:c r="P62" s="122" t="str">
        <x:v>2003220-2||المدخل لدراسة الأنظمة</x:v>
      </x:c>
    </x:row>
    <x:row r="63" ht="34" customHeight="1">
      <x:c r="A63" s="124" t="n">
        <x:v>59</x:v>
      </x:c>
      <x:c r="B63" s="62" t="str">
        <x:v>مفقود بلا مصدر</x:v>
      </x:c>
      <x:c r="C63" s="99" t="str">
        <x:v>2002310-2</x:v>
      </x:c>
      <x:c r="D63" s="62" t="str">
        <x:v>قرآن كريم حفظ وتلاوة</x:v>
      </x:c>
      <x:c r="E63" s="62" t="str">
        <x:v>الدراسات الإسلامية</x:v>
      </x:c>
      <x:c r="F63" s="99" t="str">
        <x:v>بكالوريوس</x:v>
      </x:c>
      <x:c r="G63" s="99" t="str">
        <x:v>قديمة</x:v>
      </x:c>
      <x:c r="H63" s="124" t="n">
        <x:v>39</x:v>
      </x:c>
      <x:c r="I63" s="124" t="n">
        <x:v>5</x:v>
      </x:c>
      <x:c r="J63" s="124" t="str"/>
      <x:c r="K63" s="124" t="n">
        <x:v>2</x:v>
      </x:c>
      <x:c r="L63" s="62" t="str">
        <x:v>نظري</x:v>
      </x:c>
      <x:c r="M63" s="62" t="str">
        <x:v>إجبارية القسم</x:v>
      </x:c>
      <x:c r="N63" s="62" t="str">
        <x:v>قسم الثقافة الإسلامية</x:v>
      </x:c>
      <x:c r="O63" s="62" t="str">
        <x:v>الدراسات الإسلامية 39.pdf</x:v>
      </x:c>
      <x:c r="P63" s="122" t="str">
        <x:v>2002310-2||قرآن كريم حفظ وتلاوة</x:v>
      </x:c>
    </x:row>
    <x:row r="64" ht="34" customHeight="1">
      <x:c r="A64" s="124" t="n">
        <x:v>60</x:v>
      </x:c>
      <x:c r="B64" s="62" t="str">
        <x:v>مفقود بلا مصدر</x:v>
      </x:c>
      <x:c r="C64" s="99" t="str">
        <x:v>20043105-2</x:v>
      </x:c>
      <x:c r="D64" s="62" t="str">
        <x:v>الفقه المقارن</x:v>
      </x:c>
      <x:c r="E64" s="62" t="str">
        <x:v>الدراسات الإسلامية</x:v>
      </x:c>
      <x:c r="F64" s="99" t="str">
        <x:v>بكالوريوس</x:v>
      </x:c>
      <x:c r="G64" s="99" t="str">
        <x:v>قديمة</x:v>
      </x:c>
      <x:c r="H64" s="124" t="n">
        <x:v>39</x:v>
      </x:c>
      <x:c r="I64" s="124" t="n">
        <x:v>5</x:v>
      </x:c>
      <x:c r="J64" s="124" t="str"/>
      <x:c r="K64" s="124" t="n">
        <x:v>2</x:v>
      </x:c>
      <x:c r="L64" s="62" t="str">
        <x:v>نظري</x:v>
      </x:c>
      <x:c r="M64" s="62" t="str">
        <x:v>إجبارية القسم</x:v>
      </x:c>
      <x:c r="N64" s="62" t="str">
        <x:v>قسم الثقافة الإسلامية</x:v>
      </x:c>
      <x:c r="O64" s="62" t="str">
        <x:v>الدراسات الإسلامية 39.pdf</x:v>
      </x:c>
      <x:c r="P64" s="122" t="str">
        <x:v>20043105-2||الفقه المقارن</x:v>
      </x:c>
    </x:row>
    <x:row r="65" ht="34" customHeight="1">
      <x:c r="A65" s="124" t="n">
        <x:v>61</x:v>
      </x:c>
      <x:c r="B65" s="62" t="str">
        <x:v>مفقود بلا مصدر</x:v>
      </x:c>
      <x:c r="C65" s="99" t="str">
        <x:v>20043108-2</x:v>
      </x:c>
      <x:c r="D65" s="62" t="str">
        <x:v>علم المواريث (1)</x:v>
      </x:c>
      <x:c r="E65" s="62" t="str">
        <x:v>الدراسات الإسلامية</x:v>
      </x:c>
      <x:c r="F65" s="99" t="str">
        <x:v>بكالوريوس</x:v>
      </x:c>
      <x:c r="G65" s="99" t="str">
        <x:v>قديمة</x:v>
      </x:c>
      <x:c r="H65" s="124" t="n">
        <x:v>39</x:v>
      </x:c>
      <x:c r="I65" s="124" t="n">
        <x:v>5</x:v>
      </x:c>
      <x:c r="J65" s="124" t="str"/>
      <x:c r="K65" s="124" t="n">
        <x:v>2</x:v>
      </x:c>
      <x:c r="L65" s="62" t="str">
        <x:v>نظري</x:v>
      </x:c>
      <x:c r="M65" s="62" t="str">
        <x:v>إجبارية القسم</x:v>
      </x:c>
      <x:c r="N65" s="62" t="str">
        <x:v>قسم الثقافة الإسلامية</x:v>
      </x:c>
      <x:c r="O65" s="62" t="str">
        <x:v>الدراسات الإسلامية 39.pdf</x:v>
      </x:c>
      <x:c r="P65" s="122" t="str">
        <x:v>20043108-2||علم المواريث (1)</x:v>
      </x:c>
    </x:row>
    <x:row r="66" ht="34" customHeight="1">
      <x:c r="A66" s="124" t="n">
        <x:v>62</x:v>
      </x:c>
      <x:c r="B66" s="62" t="str">
        <x:v>مفقود بلا مصدر</x:v>
      </x:c>
      <x:c r="C66" s="99" t="str">
        <x:v>20043202-2</x:v>
      </x:c>
      <x:c r="D66" s="62" t="str">
        <x:v>القواعد الفقهية</x:v>
      </x:c>
      <x:c r="E66" s="62" t="str">
        <x:v>الدراسات الإسلامية</x:v>
      </x:c>
      <x:c r="F66" s="99" t="str">
        <x:v>بكالوريوس</x:v>
      </x:c>
      <x:c r="G66" s="99" t="str">
        <x:v>قديمة</x:v>
      </x:c>
      <x:c r="H66" s="124" t="n">
        <x:v>39</x:v>
      </x:c>
      <x:c r="I66" s="124" t="n">
        <x:v>6</x:v>
      </x:c>
      <x:c r="J66" s="124" t="str"/>
      <x:c r="K66" s="124" t="n">
        <x:v>2</x:v>
      </x:c>
      <x:c r="L66" s="62" t="str">
        <x:v>نظري</x:v>
      </x:c>
      <x:c r="M66" s="62" t="str">
        <x:v>إجبارية القسم</x:v>
      </x:c>
      <x:c r="N66" s="62" t="str">
        <x:v>قسم الثقافة الإسلامية</x:v>
      </x:c>
      <x:c r="O66" s="62" t="str">
        <x:v>الدراسات الإسلامية 39.pdf</x:v>
      </x:c>
      <x:c r="P66" s="122" t="str">
        <x:v>20043202-2||القواعد الفقهية</x:v>
      </x:c>
    </x:row>
    <x:row r="67" ht="34" customHeight="1">
      <x:c r="A67" s="124" t="n">
        <x:v>63</x:v>
      </x:c>
      <x:c r="B67" s="62" t="str">
        <x:v>مفقود بلا مصدر</x:v>
      </x:c>
      <x:c r="C67" s="99" t="str">
        <x:v>20044101-2</x:v>
      </x:c>
      <x:c r="D67" s="62" t="str">
        <x:v>أصول فقه (3)</x:v>
      </x:c>
      <x:c r="E67" s="62" t="str">
        <x:v>الدراسات الإسلامية</x:v>
      </x:c>
      <x:c r="F67" s="99" t="str">
        <x:v>بكالوريوس</x:v>
      </x:c>
      <x:c r="G67" s="99" t="str">
        <x:v>قديمة</x:v>
      </x:c>
      <x:c r="H67" s="124" t="n">
        <x:v>39</x:v>
      </x:c>
      <x:c r="I67" s="124" t="n">
        <x:v>7</x:v>
      </x:c>
      <x:c r="J67" s="124" t="str"/>
      <x:c r="K67" s="124" t="n">
        <x:v>2</x:v>
      </x:c>
      <x:c r="L67" s="62" t="str">
        <x:v>نظري</x:v>
      </x:c>
      <x:c r="M67" s="62" t="str">
        <x:v>إجبارية القسم</x:v>
      </x:c>
      <x:c r="N67" s="62" t="str">
        <x:v>قسم الثقافة الإسلامية</x:v>
      </x:c>
      <x:c r="O67" s="62" t="str">
        <x:v>الدراسات الإسلامية 39.pdf</x:v>
      </x:c>
      <x:c r="P67" s="122" t="str">
        <x:v>20044101-2||أصول فقه (3)</x:v>
      </x:c>
    </x:row>
    <x:row r="68" ht="34" customHeight="1">
      <x:c r="A68" s="124" t="n">
        <x:v>64</x:v>
      </x:c>
      <x:c r="B68" s="62" t="str">
        <x:v>مفقود بلا مصدر</x:v>
      </x:c>
      <x:c r="C68" s="99" t="str">
        <x:v>20044206-2</x:v>
      </x:c>
      <x:c r="D68" s="62" t="str">
        <x:v>علم المواريث (2)</x:v>
      </x:c>
      <x:c r="E68" s="62" t="str">
        <x:v>الدراسات الإسلامية</x:v>
      </x:c>
      <x:c r="F68" s="99" t="str">
        <x:v>بكالوريوس</x:v>
      </x:c>
      <x:c r="G68" s="99" t="str">
        <x:v>قديمة</x:v>
      </x:c>
      <x:c r="H68" s="124" t="n">
        <x:v>39</x:v>
      </x:c>
      <x:c r="I68" s="124" t="n">
        <x:v>8</x:v>
      </x:c>
      <x:c r="J68" s="124" t="str"/>
      <x:c r="K68" s="124" t="n">
        <x:v>2</x:v>
      </x:c>
      <x:c r="L68" s="62" t="str">
        <x:v>نظري</x:v>
      </x:c>
      <x:c r="M68" s="62" t="str">
        <x:v>إجبارية القسم</x:v>
      </x:c>
      <x:c r="N68" s="62" t="str">
        <x:v>قسم الثقافة الإسلامية</x:v>
      </x:c>
      <x:c r="O68" s="62" t="str">
        <x:v>الدراسات الإسلامية 39.pdf</x:v>
      </x:c>
      <x:c r="P68" s="122" t="str">
        <x:v>20044206-2||علم المواريث (2)</x:v>
      </x:c>
    </x:row>
    <x:row r="69" ht="34" customHeight="1">
      <x:c r="A69" s="124" t="n">
        <x:v>65</x:v>
      </x:c>
      <x:c r="B69" s="62" t="str">
        <x:v>مفقود بلا مصدر</x:v>
      </x:c>
      <x:c r="C69" s="99" t="str">
        <x:v>2004301-2</x:v>
      </x:c>
      <x:c r="D69" s="62" t="str">
        <x:v>تدوين السنة</x:v>
      </x:c>
      <x:c r="E69" s="62" t="str">
        <x:v>الشريعة</x:v>
      </x:c>
      <x:c r="F69" s="99" t="str">
        <x:v>بكالوريوس</x:v>
      </x:c>
      <x:c r="G69" s="99" t="str">
        <x:v>حديثة</x:v>
      </x:c>
      <x:c r="H69" s="124" t="n">
        <x:v>47</x:v>
      </x:c>
      <x:c r="I69" s="124" t="n">
        <x:v>4</x:v>
      </x:c>
      <x:c r="J69" s="124" t="str"/>
      <x:c r="K69" s="124" t="n">
        <x:v>2</x:v>
      </x:c>
      <x:c r="L69" s="62" t="str">
        <x:v>نظري</x:v>
      </x:c>
      <x:c r="M69" s="62" t="str">
        <x:v>متطلبات الكلية</x:v>
      </x:c>
      <x:c r="N69" s="62" t="str">
        <x:v>قسم الشريعة</x:v>
      </x:c>
      <x:c r="O69" s="62" t="str">
        <x:v>الشريعة 47.pdf</x:v>
      </x:c>
      <x:c r="P69" s="122" t="str">
        <x:v>2004301-2||تدوين السنة</x:v>
      </x:c>
    </x:row>
    <x:row r="70" ht="34" customHeight="1">
      <x:c r="A70" s="124" t="n">
        <x:v>66</x:v>
      </x:c>
      <x:c r="B70" s="62" t="str">
        <x:v>مفقود بلا مصدر</x:v>
      </x:c>
      <x:c r="C70" s="99" t="str">
        <x:v>2004476-2</x:v>
      </x:c>
      <x:c r="D70" s="62" t="str">
        <x:v>الأديان والفرق</x:v>
      </x:c>
      <x:c r="E70" s="62" t="str">
        <x:v>الشريعة</x:v>
      </x:c>
      <x:c r="F70" s="99" t="str">
        <x:v>بكالوريوس</x:v>
      </x:c>
      <x:c r="G70" s="99" t="str">
        <x:v>حديثة</x:v>
      </x:c>
      <x:c r="H70" s="124" t="n">
        <x:v>47</x:v>
      </x:c>
      <x:c r="I70" s="124" t="n">
        <x:v>6</x:v>
      </x:c>
      <x:c r="J70" s="124" t="str"/>
      <x:c r="K70" s="124" t="n">
        <x:v>2</x:v>
      </x:c>
      <x:c r="L70" s="62" t="str">
        <x:v>نظري</x:v>
      </x:c>
      <x:c r="M70" s="62" t="str">
        <x:v>متطلبات الكلية</x:v>
      </x:c>
      <x:c r="N70" s="62" t="str">
        <x:v>قسم الشريعة</x:v>
      </x:c>
      <x:c r="O70" s="62" t="str">
        <x:v>الشريعة 47.pdf</x:v>
      </x:c>
      <x:c r="P70" s="122" t="str">
        <x:v>2004476-2||الأديان والفرق</x:v>
      </x:c>
    </x:row>
    <x:row r="71" ht="34" customHeight="1">
      <x:c r="A71" s="124" t="n">
        <x:v>67</x:v>
      </x:c>
      <x:c r="B71" s="62" t="str">
        <x:v>مفقود بلا مصدر</x:v>
      </x:c>
      <x:c r="C71" s="99" t="str">
        <x:v>2001193-2</x:v>
      </x:c>
      <x:c r="D71" s="62" t="str">
        <x:v>علوم الحديث (1)</x:v>
      </x:c>
      <x:c r="E71" s="62" t="str">
        <x:v>الشريعة</x:v>
      </x:c>
      <x:c r="F71" s="99" t="str">
        <x:v>بكالوريوس</x:v>
      </x:c>
      <x:c r="G71" s="99" t="str">
        <x:v>قديمة</x:v>
      </x:c>
      <x:c r="H71" s="124" t="n">
        <x:v>38</x:v>
      </x:c>
      <x:c r="I71" s="124" t="n">
        <x:v>1</x:v>
      </x:c>
      <x:c r="J71" s="124" t="str"/>
      <x:c r="K71" s="124" t="n">
        <x:v>2</x:v>
      </x:c>
      <x:c r="L71" s="62" t="str">
        <x:v>نظري</x:v>
      </x:c>
      <x:c r="M71" s="62" t="str">
        <x:v>إجبارية القسم</x:v>
      </x:c>
      <x:c r="N71" s="62" t="str">
        <x:v>قسم الشريعة</x:v>
      </x:c>
      <x:c r="O71" s="62" t="str">
        <x:v>خطط الإصدارات السابقة.pdf</x:v>
      </x:c>
      <x:c r="P71" s="122" t="str">
        <x:v>2001193-2||علوم الحديث (1)</x:v>
      </x:c>
    </x:row>
    <x:row r="72" ht="34" customHeight="1">
      <x:c r="A72" s="124" t="n">
        <x:v>68</x:v>
      </x:c>
      <x:c r="B72" s="62" t="str">
        <x:v>مفقود بلا مصدر</x:v>
      </x:c>
      <x:c r="C72" s="99" t="str">
        <x:v>2002128-1</x:v>
      </x:c>
      <x:c r="D72" s="62" t="str">
        <x:v>القرآن الكريم (1)</x:v>
      </x:c>
      <x:c r="E72" s="62" t="str">
        <x:v>الشريعة</x:v>
      </x:c>
      <x:c r="F72" s="99" t="str">
        <x:v>بكالوريوس</x:v>
      </x:c>
      <x:c r="G72" s="99" t="str">
        <x:v>قديمة</x:v>
      </x:c>
      <x:c r="H72" s="124" t="n">
        <x:v>38</x:v>
      </x:c>
      <x:c r="I72" s="124" t="n">
        <x:v>1</x:v>
      </x:c>
      <x:c r="J72" s="124" t="str"/>
      <x:c r="K72" s="124" t="n">
        <x:v>1</x:v>
      </x:c>
      <x:c r="L72" s="62" t="str">
        <x:v>نظري</x:v>
      </x:c>
      <x:c r="M72" s="62" t="str">
        <x:v>إجبارية القسم</x:v>
      </x:c>
      <x:c r="N72" s="62" t="str">
        <x:v>قسم الشريعة</x:v>
      </x:c>
      <x:c r="O72" s="62" t="str">
        <x:v>خطط الإصدارات السابقة.pdf</x:v>
      </x:c>
      <x:c r="P72" s="122" t="str">
        <x:v>2002128-1||القرآن الكريم (1)</x:v>
      </x:c>
    </x:row>
    <x:row r="73" ht="34" customHeight="1">
      <x:c r="A73" s="124" t="n">
        <x:v>69</x:v>
      </x:c>
      <x:c r="B73" s="62" t="str">
        <x:v>مفقود بلا مصدر</x:v>
      </x:c>
      <x:c r="C73" s="99" t="str">
        <x:v>2002230-2</x:v>
      </x:c>
      <x:c r="D73" s="62" t="str">
        <x:v>علوم قرآن</x:v>
      </x:c>
      <x:c r="E73" s="62" t="str">
        <x:v>الشريعة</x:v>
      </x:c>
      <x:c r="F73" s="99" t="str">
        <x:v>بكالوريوس</x:v>
      </x:c>
      <x:c r="G73" s="99" t="str">
        <x:v>قديمة</x:v>
      </x:c>
      <x:c r="H73" s="124" t="n">
        <x:v>38</x:v>
      </x:c>
      <x:c r="I73" s="124" t="n">
        <x:v>1</x:v>
      </x:c>
      <x:c r="J73" s="124" t="str"/>
      <x:c r="K73" s="124" t="n">
        <x:v>2</x:v>
      </x:c>
      <x:c r="L73" s="62" t="str">
        <x:v>نظري</x:v>
      </x:c>
      <x:c r="M73" s="62" t="str">
        <x:v>إجبارية القسم</x:v>
      </x:c>
      <x:c r="N73" s="62" t="str">
        <x:v>قسم الشريعة</x:v>
      </x:c>
      <x:c r="O73" s="62" t="str">
        <x:v>خطط الإصدارات السابقة.pdf</x:v>
      </x:c>
      <x:c r="P73" s="122" t="str">
        <x:v>2002230-2||علوم قرآن</x:v>
      </x:c>
    </x:row>
    <x:row r="74" ht="34" customHeight="1">
      <x:c r="A74" s="124" t="n">
        <x:v>70</x:v>
      </x:c>
      <x:c r="B74" s="62" t="str">
        <x:v>مفقود بلا مصدر</x:v>
      </x:c>
      <x:c r="C74" s="99" t="str">
        <x:v>2001192-2</x:v>
      </x:c>
      <x:c r="D74" s="62" t="str">
        <x:v>علوم الحديث (2)</x:v>
      </x:c>
      <x:c r="E74" s="62" t="str">
        <x:v>الشريعة</x:v>
      </x:c>
      <x:c r="F74" s="99" t="str">
        <x:v>بكالوريوس</x:v>
      </x:c>
      <x:c r="G74" s="99" t="str">
        <x:v>قديمة</x:v>
      </x:c>
      <x:c r="H74" s="124" t="n">
        <x:v>38</x:v>
      </x:c>
      <x:c r="I74" s="124" t="n">
        <x:v>2</x:v>
      </x:c>
      <x:c r="J74" s="124" t="str"/>
      <x:c r="K74" s="124" t="n">
        <x:v>2</x:v>
      </x:c>
      <x:c r="L74" s="62" t="str">
        <x:v>نظري</x:v>
      </x:c>
      <x:c r="M74" s="62" t="str">
        <x:v>إجبارية القسم</x:v>
      </x:c>
      <x:c r="N74" s="62" t="str">
        <x:v>قسم الشريعة</x:v>
      </x:c>
      <x:c r="O74" s="62" t="str">
        <x:v>خطط الإصدارات السابقة.pdf</x:v>
      </x:c>
      <x:c r="P74" s="122" t="str">
        <x:v>2001192-2||علوم الحديث (2)</x:v>
      </x:c>
    </x:row>
    <x:row r="75" ht="34" customHeight="1">
      <x:c r="A75" s="124" t="n">
        <x:v>71</x:v>
      </x:c>
      <x:c r="B75" s="62" t="str">
        <x:v>مفقود بلا مصدر</x:v>
      </x:c>
      <x:c r="C75" s="99" t="str">
        <x:v>2002129-1</x:v>
      </x:c>
      <x:c r="D75" s="62" t="str">
        <x:v>القرآن الكريم (2)</x:v>
      </x:c>
      <x:c r="E75" s="62" t="str">
        <x:v>الشريعة</x:v>
      </x:c>
      <x:c r="F75" s="99" t="str">
        <x:v>بكالوريوس</x:v>
      </x:c>
      <x:c r="G75" s="99" t="str">
        <x:v>قديمة</x:v>
      </x:c>
      <x:c r="H75" s="124" t="n">
        <x:v>38</x:v>
      </x:c>
      <x:c r="I75" s="124" t="n">
        <x:v>2</x:v>
      </x:c>
      <x:c r="J75" s="124" t="str"/>
      <x:c r="K75" s="124" t="n">
        <x:v>1</x:v>
      </x:c>
      <x:c r="L75" s="62" t="str">
        <x:v>نظري</x:v>
      </x:c>
      <x:c r="M75" s="62" t="str">
        <x:v>إجبارية القسم</x:v>
      </x:c>
      <x:c r="N75" s="62" t="str">
        <x:v>قسم الشريعة</x:v>
      </x:c>
      <x:c r="O75" s="62" t="str">
        <x:v>خطط الإصدارات السابقة.pdf</x:v>
      </x:c>
      <x:c r="P75" s="122" t="str">
        <x:v>2002129-1||القرآن الكريم (2)</x:v>
      </x:c>
    </x:row>
    <x:row r="76" ht="34" customHeight="1">
      <x:c r="A76" s="124" t="n">
        <x:v>72</x:v>
      </x:c>
      <x:c r="B76" s="62" t="str">
        <x:v>مفقود بلا مصدر</x:v>
      </x:c>
      <x:c r="C76" s="99" t="str">
        <x:v>2002241-2</x:v>
      </x:c>
      <x:c r="D76" s="62" t="str">
        <x:v>تفسير آيات الأحكام (1)</x:v>
      </x:c>
      <x:c r="E76" s="62" t="str">
        <x:v>الشريعة</x:v>
      </x:c>
      <x:c r="F76" s="99" t="str">
        <x:v>بكالوريوس</x:v>
      </x:c>
      <x:c r="G76" s="99" t="str">
        <x:v>قديمة</x:v>
      </x:c>
      <x:c r="H76" s="124" t="n">
        <x:v>38</x:v>
      </x:c>
      <x:c r="I76" s="124" t="n">
        <x:v>2</x:v>
      </x:c>
      <x:c r="J76" s="124" t="str"/>
      <x:c r="K76" s="124" t="n">
        <x:v>2</x:v>
      </x:c>
      <x:c r="L76" s="62" t="str">
        <x:v>نظري</x:v>
      </x:c>
      <x:c r="M76" s="62" t="str">
        <x:v>إجبارية القسم</x:v>
      </x:c>
      <x:c r="N76" s="62" t="str">
        <x:v>قسم الشريعة</x:v>
      </x:c>
      <x:c r="O76" s="62" t="str">
        <x:v>خطط الإصدارات السابقة.pdf</x:v>
      </x:c>
      <x:c r="P76" s="122" t="str">
        <x:v>2002241-2||تفسير آيات الأحكام (1)</x:v>
      </x:c>
    </x:row>
    <x:row r="77" ht="34" customHeight="1">
      <x:c r="A77" s="124" t="n">
        <x:v>73</x:v>
      </x:c>
      <x:c r="B77" s="62" t="str">
        <x:v>مفقود بلا مصدر</x:v>
      </x:c>
      <x:c r="C77" s="99" t="str">
        <x:v>2001219-3</x:v>
      </x:c>
      <x:c r="D77" s="62" t="str">
        <x:v>أدلة الأحكام الشرعية (1)</x:v>
      </x:c>
      <x:c r="E77" s="62" t="str">
        <x:v>الشريعة</x:v>
      </x:c>
      <x:c r="F77" s="99" t="str">
        <x:v>بكالوريوس</x:v>
      </x:c>
      <x:c r="G77" s="99" t="str">
        <x:v>قديمة</x:v>
      </x:c>
      <x:c r="H77" s="124" t="n">
        <x:v>38</x:v>
      </x:c>
      <x:c r="I77" s="124" t="n">
        <x:v>3</x:v>
      </x:c>
      <x:c r="J77" s="124" t="str"/>
      <x:c r="K77" s="124" t="n">
        <x:v>3</x:v>
      </x:c>
      <x:c r="L77" s="62" t="str">
        <x:v>نظري</x:v>
      </x:c>
      <x:c r="M77" s="62" t="str">
        <x:v>إجبارية القسم</x:v>
      </x:c>
      <x:c r="N77" s="62" t="str">
        <x:v>قسم الشريعة</x:v>
      </x:c>
      <x:c r="O77" s="62" t="str">
        <x:v>خطط الإصدارات السابقة.pdf</x:v>
      </x:c>
      <x:c r="P77" s="122" t="str">
        <x:v>2001219-3||أدلة الأحكام الشرعية (1)</x:v>
      </x:c>
    </x:row>
    <x:row r="78" ht="34" customHeight="1">
      <x:c r="A78" s="124" t="n">
        <x:v>74</x:v>
      </x:c>
      <x:c r="B78" s="62" t="str">
        <x:v>مفقود بلا مصدر</x:v>
      </x:c>
      <x:c r="C78" s="99" t="str">
        <x:v>2001231-2</x:v>
      </x:c>
      <x:c r="D78" s="62" t="str">
        <x:v>أحاديث الأحكام (1)</x:v>
      </x:c>
      <x:c r="E78" s="62" t="str">
        <x:v>الشريعة</x:v>
      </x:c>
      <x:c r="F78" s="99" t="str">
        <x:v>بكالوريوس</x:v>
      </x:c>
      <x:c r="G78" s="99" t="str">
        <x:v>قديمة</x:v>
      </x:c>
      <x:c r="H78" s="124" t="n">
        <x:v>38</x:v>
      </x:c>
      <x:c r="I78" s="124" t="n">
        <x:v>3</x:v>
      </x:c>
      <x:c r="J78" s="124" t="str"/>
      <x:c r="K78" s="124" t="n">
        <x:v>2</x:v>
      </x:c>
      <x:c r="L78" s="62" t="str">
        <x:v>نظري</x:v>
      </x:c>
      <x:c r="M78" s="62" t="str">
        <x:v>إجبارية القسم</x:v>
      </x:c>
      <x:c r="N78" s="62" t="str">
        <x:v>قسم الشريعة</x:v>
      </x:c>
      <x:c r="O78" s="62" t="str">
        <x:v>خطط الإصدارات السابقة.pdf</x:v>
      </x:c>
      <x:c r="P78" s="122" t="str">
        <x:v>2001231-2||أحاديث الأحكام (1)</x:v>
      </x:c>
    </x:row>
    <x:row r="79" ht="34" customHeight="1">
      <x:c r="A79" s="124" t="n">
        <x:v>75</x:v>
      </x:c>
      <x:c r="B79" s="62" t="str">
        <x:v>مفقود بلا مصدر</x:v>
      </x:c>
      <x:c r="C79" s="99" t="str">
        <x:v>2002211-1</x:v>
      </x:c>
      <x:c r="D79" s="62" t="str">
        <x:v>القرآن الكريم (3)</x:v>
      </x:c>
      <x:c r="E79" s="62" t="str">
        <x:v>الشريعة</x:v>
      </x:c>
      <x:c r="F79" s="99" t="str">
        <x:v>بكالوريوس</x:v>
      </x:c>
      <x:c r="G79" s="99" t="str">
        <x:v>قديمة</x:v>
      </x:c>
      <x:c r="H79" s="124" t="n">
        <x:v>38</x:v>
      </x:c>
      <x:c r="I79" s="124" t="n">
        <x:v>3</x:v>
      </x:c>
      <x:c r="J79" s="124" t="str"/>
      <x:c r="K79" s="124" t="n">
        <x:v>1</x:v>
      </x:c>
      <x:c r="L79" s="62" t="str">
        <x:v>نظري</x:v>
      </x:c>
      <x:c r="M79" s="62" t="str">
        <x:v>إجبارية القسم</x:v>
      </x:c>
      <x:c r="N79" s="62" t="str">
        <x:v>قسم الشريعة</x:v>
      </x:c>
      <x:c r="O79" s="62" t="str">
        <x:v>خطط الإصدارات السابقة.pdf</x:v>
      </x:c>
      <x:c r="P79" s="122" t="str">
        <x:v>2002211-1||القرآن الكريم (3)</x:v>
      </x:c>
    </x:row>
    <x:row r="80" ht="34" customHeight="1">
      <x:c r="A80" s="124" t="n">
        <x:v>76</x:v>
      </x:c>
      <x:c r="B80" s="62" t="str">
        <x:v>مفقود بلا مصدر</x:v>
      </x:c>
      <x:c r="C80" s="99" t="str">
        <x:v>2002242-2</x:v>
      </x:c>
      <x:c r="D80" s="62" t="str">
        <x:v>تفسير آيات الأحكام (2)</x:v>
      </x:c>
      <x:c r="E80" s="62" t="str">
        <x:v>الشريعة</x:v>
      </x:c>
      <x:c r="F80" s="99" t="str">
        <x:v>بكالوريوس</x:v>
      </x:c>
      <x:c r="G80" s="99" t="str">
        <x:v>قديمة</x:v>
      </x:c>
      <x:c r="H80" s="124" t="n">
        <x:v>38</x:v>
      </x:c>
      <x:c r="I80" s="124" t="n">
        <x:v>3</x:v>
      </x:c>
      <x:c r="J80" s="124" t="str"/>
      <x:c r="K80" s="124" t="n">
        <x:v>2</x:v>
      </x:c>
      <x:c r="L80" s="62" t="str">
        <x:v>نظري</x:v>
      </x:c>
      <x:c r="M80" s="62" t="str">
        <x:v>إجبارية القسم</x:v>
      </x:c>
      <x:c r="N80" s="62" t="str">
        <x:v>قسم الشريعة</x:v>
      </x:c>
      <x:c r="O80" s="62" t="str">
        <x:v>خطط الإصدارات السابقة.pdf</x:v>
      </x:c>
      <x:c r="P80" s="122" t="str">
        <x:v>2002242-2||تفسير آيات الأحكام (2)</x:v>
      </x:c>
    </x:row>
    <x:row r="81" ht="34" customHeight="1">
      <x:c r="A81" s="124" t="n">
        <x:v>77</x:v>
      </x:c>
      <x:c r="B81" s="62" t="str">
        <x:v>مفقود بلا مصدر</x:v>
      </x:c>
      <x:c r="C81" s="99" t="str">
        <x:v>2001217-4</x:v>
      </x:c>
      <x:c r="D81" s="62" t="str">
        <x:v>أدلة الأحكام الشرعية (2)</x:v>
      </x:c>
      <x:c r="E81" s="62" t="str">
        <x:v>الشريعة</x:v>
      </x:c>
      <x:c r="F81" s="99" t="str">
        <x:v>بكالوريوس</x:v>
      </x:c>
      <x:c r="G81" s="99" t="str">
        <x:v>قديمة</x:v>
      </x:c>
      <x:c r="H81" s="124" t="n">
        <x:v>38</x:v>
      </x:c>
      <x:c r="I81" s="124" t="n">
        <x:v>4</x:v>
      </x:c>
      <x:c r="J81" s="124" t="str"/>
      <x:c r="K81" s="124" t="n">
        <x:v>4</x:v>
      </x:c>
      <x:c r="L81" s="62" t="str">
        <x:v>نظري</x:v>
      </x:c>
      <x:c r="M81" s="62" t="str">
        <x:v>إجبارية القسم</x:v>
      </x:c>
      <x:c r="N81" s="62" t="str">
        <x:v>قسم الشريعة</x:v>
      </x:c>
      <x:c r="O81" s="62" t="str">
        <x:v>خطط الإصدارات السابقة.pdf</x:v>
      </x:c>
      <x:c r="P81" s="122" t="str">
        <x:v>2001217-4||أدلة الأحكام الشرعية (2)</x:v>
      </x:c>
    </x:row>
    <x:row r="82" ht="34" customHeight="1">
      <x:c r="A82" s="124" t="n">
        <x:v>78</x:v>
      </x:c>
      <x:c r="B82" s="62" t="str">
        <x:v>مفقود بلا مصدر</x:v>
      </x:c>
      <x:c r="C82" s="99" t="str">
        <x:v>2001218-2</x:v>
      </x:c>
      <x:c r="D82" s="62" t="str">
        <x:v>قاعة بحث (تطبيقي)</x:v>
      </x:c>
      <x:c r="E82" s="62" t="str">
        <x:v>الشريعة</x:v>
      </x:c>
      <x:c r="F82" s="99" t="str">
        <x:v>بكالوريوس</x:v>
      </x:c>
      <x:c r="G82" s="99" t="str">
        <x:v>قديمة</x:v>
      </x:c>
      <x:c r="H82" s="124" t="n">
        <x:v>38</x:v>
      </x:c>
      <x:c r="I82" s="124" t="n">
        <x:v>4</x:v>
      </x:c>
      <x:c r="J82" s="124" t="str"/>
      <x:c r="K82" s="124" t="n">
        <x:v>2</x:v>
      </x:c>
      <x:c r="L82" s="62" t="str">
        <x:v>نظري</x:v>
      </x:c>
      <x:c r="M82" s="62" t="str">
        <x:v>إجبارية القسم</x:v>
      </x:c>
      <x:c r="N82" s="62" t="str">
        <x:v>قسم الشريعة</x:v>
      </x:c>
      <x:c r="O82" s="62" t="str">
        <x:v>خطط الإصدارات السابقة.pdf</x:v>
      </x:c>
      <x:c r="P82" s="122" t="str">
        <x:v>2001218-2||قاعة بحث (تطبيقي)</x:v>
      </x:c>
    </x:row>
    <x:row r="83" ht="34" customHeight="1">
      <x:c r="A83" s="124" t="n">
        <x:v>79</x:v>
      </x:c>
      <x:c r="B83" s="62" t="str">
        <x:v>مفقود بلا مصدر</x:v>
      </x:c>
      <x:c r="C83" s="99" t="str">
        <x:v>2001332-2</x:v>
      </x:c>
      <x:c r="D83" s="62" t="str">
        <x:v>أحاديث الأحكام (2)</x:v>
      </x:c>
      <x:c r="E83" s="62" t="str">
        <x:v>الشريعة</x:v>
      </x:c>
      <x:c r="F83" s="99" t="str">
        <x:v>بكالوريوس</x:v>
      </x:c>
      <x:c r="G83" s="99" t="str">
        <x:v>قديمة</x:v>
      </x:c>
      <x:c r="H83" s="124" t="n">
        <x:v>38</x:v>
      </x:c>
      <x:c r="I83" s="124" t="n">
        <x:v>4</x:v>
      </x:c>
      <x:c r="J83" s="124" t="str"/>
      <x:c r="K83" s="124" t="n">
        <x:v>2</x:v>
      </x:c>
      <x:c r="L83" s="62" t="str">
        <x:v>نظري</x:v>
      </x:c>
      <x:c r="M83" s="62" t="str">
        <x:v>إجبارية القسم</x:v>
      </x:c>
      <x:c r="N83" s="62" t="str">
        <x:v>قسم الشريعة</x:v>
      </x:c>
      <x:c r="O83" s="62" t="str">
        <x:v>خطط الإصدارات السابقة.pdf</x:v>
      </x:c>
      <x:c r="P83" s="122" t="str">
        <x:v>2001332-2||أحاديث الأحكام (2)</x:v>
      </x:c>
    </x:row>
    <x:row r="84" ht="34" customHeight="1">
      <x:c r="A84" s="124" t="n">
        <x:v>80</x:v>
      </x:c>
      <x:c r="B84" s="62" t="str">
        <x:v>مفقود بلا مصدر</x:v>
      </x:c>
      <x:c r="C84" s="99" t="str">
        <x:v>2002221-1</x:v>
      </x:c>
      <x:c r="D84" s="62" t="str">
        <x:v>القرآن الكريم (4)</x:v>
      </x:c>
      <x:c r="E84" s="62" t="str">
        <x:v>الشريعة</x:v>
      </x:c>
      <x:c r="F84" s="99" t="str">
        <x:v>بكالوريوس</x:v>
      </x:c>
      <x:c r="G84" s="99" t="str">
        <x:v>قديمة</x:v>
      </x:c>
      <x:c r="H84" s="124" t="n">
        <x:v>38</x:v>
      </x:c>
      <x:c r="I84" s="124" t="n">
        <x:v>4</x:v>
      </x:c>
      <x:c r="J84" s="124" t="str"/>
      <x:c r="K84" s="124" t="n">
        <x:v>1</x:v>
      </x:c>
      <x:c r="L84" s="62" t="str">
        <x:v>نظري</x:v>
      </x:c>
      <x:c r="M84" s="62" t="str">
        <x:v>إجبارية القسم</x:v>
      </x:c>
      <x:c r="N84" s="62" t="str">
        <x:v>قسم الشريعة</x:v>
      </x:c>
      <x:c r="O84" s="62" t="str">
        <x:v>خطط الإصدارات السابقة.pdf</x:v>
      </x:c>
      <x:c r="P84" s="122" t="str">
        <x:v>2002221-1||القرآن الكريم (4)</x:v>
      </x:c>
    </x:row>
    <x:row r="85" ht="34" customHeight="1">
      <x:c r="A85" s="124" t="n">
        <x:v>81</x:v>
      </x:c>
      <x:c r="B85" s="62" t="str">
        <x:v>مفقود بلا مصدر</x:v>
      </x:c>
      <x:c r="C85" s="99" t="str">
        <x:v>2002343-2</x:v>
      </x:c>
      <x:c r="D85" s="62" t="str">
        <x:v>تفسير آيات الأحكام (3)</x:v>
      </x:c>
      <x:c r="E85" s="62" t="str">
        <x:v>الشريعة</x:v>
      </x:c>
      <x:c r="F85" s="99" t="str">
        <x:v>بكالوريوس</x:v>
      </x:c>
      <x:c r="G85" s="99" t="str">
        <x:v>قديمة</x:v>
      </x:c>
      <x:c r="H85" s="124" t="n">
        <x:v>38</x:v>
      </x:c>
      <x:c r="I85" s="124" t="n">
        <x:v>4</x:v>
      </x:c>
      <x:c r="J85" s="124" t="str"/>
      <x:c r="K85" s="124" t="n">
        <x:v>2</x:v>
      </x:c>
      <x:c r="L85" s="62" t="str">
        <x:v>نظري</x:v>
      </x:c>
      <x:c r="M85" s="62" t="str">
        <x:v>إجبارية القسم</x:v>
      </x:c>
      <x:c r="N85" s="62" t="str">
        <x:v>قسم الشريعة</x:v>
      </x:c>
      <x:c r="O85" s="62" t="str">
        <x:v>خطط الإصدارات السابقة.pdf</x:v>
      </x:c>
      <x:c r="P85" s="122" t="str">
        <x:v>2002343-2||تفسير آيات الأحكام (3)</x:v>
      </x:c>
    </x:row>
    <x:row r="86" ht="34" customHeight="1">
      <x:c r="A86" s="124" t="n">
        <x:v>82</x:v>
      </x:c>
      <x:c r="B86" s="62" t="str">
        <x:v>مفقود بلا مصدر</x:v>
      </x:c>
      <x:c r="C86" s="99" t="str">
        <x:v>2002311-1</x:v>
      </x:c>
      <x:c r="D86" s="62" t="str">
        <x:v>القرآن الكريم (5)</x:v>
      </x:c>
      <x:c r="E86" s="62" t="str">
        <x:v>الشريعة</x:v>
      </x:c>
      <x:c r="F86" s="99" t="str">
        <x:v>بكالوريوس</x:v>
      </x:c>
      <x:c r="G86" s="99" t="str">
        <x:v>قديمة</x:v>
      </x:c>
      <x:c r="H86" s="124" t="n">
        <x:v>38</x:v>
      </x:c>
      <x:c r="I86" s="124" t="n">
        <x:v>5</x:v>
      </x:c>
      <x:c r="J86" s="124" t="str"/>
      <x:c r="K86" s="124" t="n">
        <x:v>1</x:v>
      </x:c>
      <x:c r="L86" s="62" t="str">
        <x:v>نظري</x:v>
      </x:c>
      <x:c r="M86" s="62" t="str">
        <x:v>إجبارية القسم</x:v>
      </x:c>
      <x:c r="N86" s="62" t="str">
        <x:v>قسم الشريعة</x:v>
      </x:c>
      <x:c r="O86" s="62" t="str">
        <x:v>خطط الإصدارات السابقة.pdf</x:v>
      </x:c>
      <x:c r="P86" s="122" t="str">
        <x:v>2002311-1||القرآن الكريم (5)</x:v>
      </x:c>
    </x:row>
    <x:row r="87" ht="34" customHeight="1">
      <x:c r="A87" s="124" t="n">
        <x:v>83</x:v>
      </x:c>
      <x:c r="B87" s="62" t="str">
        <x:v>مفقود بلا مصدر</x:v>
      </x:c>
      <x:c r="C87" s="99" t="str">
        <x:v>2001280-2</x:v>
      </x:c>
      <x:c r="D87" s="62" t="str">
        <x:v>أصول الدعوة والحسبة</x:v>
      </x:c>
      <x:c r="E87" s="62" t="str">
        <x:v>الشريعة</x:v>
      </x:c>
      <x:c r="F87" s="99" t="str">
        <x:v>بكالوريوس</x:v>
      </x:c>
      <x:c r="G87" s="99" t="str">
        <x:v>قديمة</x:v>
      </x:c>
      <x:c r="H87" s="124" t="n">
        <x:v>38</x:v>
      </x:c>
      <x:c r="I87" s="124" t="n">
        <x:v>6</x:v>
      </x:c>
      <x:c r="J87" s="124" t="str"/>
      <x:c r="K87" s="124" t="n">
        <x:v>2</x:v>
      </x:c>
      <x:c r="L87" s="62" t="str">
        <x:v>نظري</x:v>
      </x:c>
      <x:c r="M87" s="62" t="str">
        <x:v>إجبارية القسم</x:v>
      </x:c>
      <x:c r="N87" s="62" t="str">
        <x:v>قسم الشريعة</x:v>
      </x:c>
      <x:c r="O87" s="62" t="str">
        <x:v>خطط الإصدارات السابقة.pdf</x:v>
      </x:c>
      <x:c r="P87" s="122" t="str">
        <x:v>2001280-2||أصول الدعوة والحسبة</x:v>
      </x:c>
    </x:row>
    <x:row r="88" ht="34" customHeight="1">
      <x:c r="A88" s="124" t="n">
        <x:v>84</x:v>
      </x:c>
      <x:c r="B88" s="62" t="str">
        <x:v>مفقود بلا مصدر</x:v>
      </x:c>
      <x:c r="C88" s="99" t="str">
        <x:v>2001301-2</x:v>
      </x:c>
      <x:c r="D88" s="62" t="str">
        <x:v>تدوين السنة</x:v>
      </x:c>
      <x:c r="E88" s="62" t="str">
        <x:v>الشريعة</x:v>
      </x:c>
      <x:c r="F88" s="99" t="str">
        <x:v>بكالوريوس</x:v>
      </x:c>
      <x:c r="G88" s="99" t="str">
        <x:v>قديمة</x:v>
      </x:c>
      <x:c r="H88" s="124" t="n">
        <x:v>38</x:v>
      </x:c>
      <x:c r="I88" s="124" t="n">
        <x:v>6</x:v>
      </x:c>
      <x:c r="J88" s="124" t="str"/>
      <x:c r="K88" s="124" t="n">
        <x:v>2</x:v>
      </x:c>
      <x:c r="L88" s="62" t="str">
        <x:v>نظري</x:v>
      </x:c>
      <x:c r="M88" s="62" t="str">
        <x:v>إجبارية القسم</x:v>
      </x:c>
      <x:c r="N88" s="62" t="str">
        <x:v>قسم الشريعة</x:v>
      </x:c>
      <x:c r="O88" s="62" t="str">
        <x:v>خطط الإصدارات السابقة.pdf</x:v>
      </x:c>
      <x:c r="P88" s="122" t="str">
        <x:v>2001301-2||تدوين السنة</x:v>
      </x:c>
    </x:row>
    <x:row r="89" ht="34" customHeight="1">
      <x:c r="A89" s="124" t="n">
        <x:v>85</x:v>
      </x:c>
      <x:c r="B89" s="62" t="str">
        <x:v>مفقود بلا مصدر</x:v>
      </x:c>
      <x:c r="C89" s="99" t="str">
        <x:v>2002312-1</x:v>
      </x:c>
      <x:c r="D89" s="62" t="str">
        <x:v>القرآن الكريم (6)</x:v>
      </x:c>
      <x:c r="E89" s="62" t="str">
        <x:v>الشريعة</x:v>
      </x:c>
      <x:c r="F89" s="99" t="str">
        <x:v>بكالوريوس</x:v>
      </x:c>
      <x:c r="G89" s="99" t="str">
        <x:v>قديمة</x:v>
      </x:c>
      <x:c r="H89" s="124" t="n">
        <x:v>38</x:v>
      </x:c>
      <x:c r="I89" s="124" t="n">
        <x:v>6</x:v>
      </x:c>
      <x:c r="J89" s="124" t="str"/>
      <x:c r="K89" s="124" t="n">
        <x:v>1</x:v>
      </x:c>
      <x:c r="L89" s="62" t="str">
        <x:v>نظري</x:v>
      </x:c>
      <x:c r="M89" s="62" t="str">
        <x:v>إجبارية القسم</x:v>
      </x:c>
      <x:c r="N89" s="62" t="str">
        <x:v>قسم الشريعة</x:v>
      </x:c>
      <x:c r="O89" s="62" t="str">
        <x:v>خطط الإصدارات السابقة.pdf</x:v>
      </x:c>
      <x:c r="P89" s="122" t="str">
        <x:v>2002312-1||القرآن الكريم (6)</x:v>
      </x:c>
    </x:row>
    <x:row r="90" ht="34" customHeight="1">
      <x:c r="A90" s="124" t="n">
        <x:v>86</x:v>
      </x:c>
      <x:c r="B90" s="62" t="str">
        <x:v>مفقود بلا مصدر</x:v>
      </x:c>
      <x:c r="C90" s="99" t="str">
        <x:v>2003243-2</x:v>
      </x:c>
      <x:c r="D90" s="62" t="str">
        <x:v>مبادئ القانون الإداري</x:v>
      </x:c>
      <x:c r="E90" s="62" t="str">
        <x:v>الشريعة</x:v>
      </x:c>
      <x:c r="F90" s="99" t="str">
        <x:v>بكالوريوس</x:v>
      </x:c>
      <x:c r="G90" s="99" t="str">
        <x:v>قديمة</x:v>
      </x:c>
      <x:c r="H90" s="124" t="n">
        <x:v>38</x:v>
      </x:c>
      <x:c r="I90" s="124" t="n">
        <x:v>6</x:v>
      </x:c>
      <x:c r="J90" s="124" t="str"/>
      <x:c r="K90" s="124" t="n">
        <x:v>2</x:v>
      </x:c>
      <x:c r="L90" s="62" t="str">
        <x:v>نظري</x:v>
      </x:c>
      <x:c r="M90" s="62" t="str">
        <x:v>إجبارية القسم</x:v>
      </x:c>
      <x:c r="N90" s="62" t="str">
        <x:v>قسم الشريعة</x:v>
      </x:c>
      <x:c r="O90" s="62" t="str">
        <x:v>خطط الإصدارات السابقة.pdf</x:v>
      </x:c>
      <x:c r="P90" s="122" t="str">
        <x:v>2003243-2||مبادئ القانون الإداري</x:v>
      </x:c>
    </x:row>
    <x:row r="91" ht="34" customHeight="1">
      <x:c r="A91" s="124" t="n">
        <x:v>87</x:v>
      </x:c>
      <x:c r="B91" s="62" t="str">
        <x:v>مفقود بلا مصدر</x:v>
      </x:c>
      <x:c r="C91" s="99" t="str">
        <x:v>2003325-1</x:v>
      </x:c>
      <x:c r="D91" s="62" t="str">
        <x:v>نظام المرافعات الشرعية</x:v>
      </x:c>
      <x:c r="E91" s="62" t="str">
        <x:v>الشريعة</x:v>
      </x:c>
      <x:c r="F91" s="99" t="str">
        <x:v>بكالوريوس</x:v>
      </x:c>
      <x:c r="G91" s="99" t="str">
        <x:v>قديمة</x:v>
      </x:c>
      <x:c r="H91" s="124" t="n">
        <x:v>38</x:v>
      </x:c>
      <x:c r="I91" s="124" t="n">
        <x:v>6</x:v>
      </x:c>
      <x:c r="J91" s="124" t="str"/>
      <x:c r="K91" s="124" t="n">
        <x:v>1</x:v>
      </x:c>
      <x:c r="L91" s="62" t="str">
        <x:v>نظري</x:v>
      </x:c>
      <x:c r="M91" s="62" t="str">
        <x:v>إجبارية القسم</x:v>
      </x:c>
      <x:c r="N91" s="62" t="str">
        <x:v>قسم الشريعة</x:v>
      </x:c>
      <x:c r="O91" s="62" t="str">
        <x:v>خطط الإصدارات السابقة.pdf</x:v>
      </x:c>
      <x:c r="P91" s="122" t="str">
        <x:v>2003325-1||نظام المرافعات الشرعية</x:v>
      </x:c>
    </x:row>
    <x:row r="92" ht="34" customHeight="1">
      <x:c r="A92" s="124" t="n">
        <x:v>88</x:v>
      </x:c>
      <x:c r="B92" s="62" t="str">
        <x:v>مفقود بلا مصدر</x:v>
      </x:c>
      <x:c r="C92" s="99" t="str">
        <x:v>2003328-1</x:v>
      </x:c>
      <x:c r="D92" s="62" t="str">
        <x:v>نظام الإجراءات الجزائية</x:v>
      </x:c>
      <x:c r="E92" s="62" t="str">
        <x:v>الشريعة</x:v>
      </x:c>
      <x:c r="F92" s="99" t="str">
        <x:v>بكالوريوس</x:v>
      </x:c>
      <x:c r="G92" s="99" t="str">
        <x:v>قديمة</x:v>
      </x:c>
      <x:c r="H92" s="124" t="n">
        <x:v>38</x:v>
      </x:c>
      <x:c r="I92" s="124" t="n">
        <x:v>6</x:v>
      </x:c>
      <x:c r="J92" s="124" t="str"/>
      <x:c r="K92" s="124" t="n">
        <x:v>1</x:v>
      </x:c>
      <x:c r="L92" s="62" t="str">
        <x:v>نظري</x:v>
      </x:c>
      <x:c r="M92" s="62" t="str">
        <x:v>إجبارية القسم</x:v>
      </x:c>
      <x:c r="N92" s="62" t="str">
        <x:v>قسم الشريعة</x:v>
      </x:c>
      <x:c r="O92" s="62" t="str">
        <x:v>خطط الإصدارات السابقة.pdf</x:v>
      </x:c>
      <x:c r="P92" s="122" t="str">
        <x:v>2003328-1||نظام الإجراءات الجزائية</x:v>
      </x:c>
    </x:row>
    <x:row r="93" ht="34" customHeight="1">
      <x:c r="A93" s="124" t="n">
        <x:v>89</x:v>
      </x:c>
      <x:c r="B93" s="62" t="str">
        <x:v>مفقود بلا مصدر</x:v>
      </x:c>
      <x:c r="C93" s="99" t="str">
        <x:v>2001493-2</x:v>
      </x:c>
      <x:c r="D93" s="62" t="str">
        <x:v>تخريج ودراسة الأسانيد</x:v>
      </x:c>
      <x:c r="E93" s="62" t="str">
        <x:v>الشريعة</x:v>
      </x:c>
      <x:c r="F93" s="99" t="str">
        <x:v>بكالوريوس</x:v>
      </x:c>
      <x:c r="G93" s="99" t="str">
        <x:v>قديمة</x:v>
      </x:c>
      <x:c r="H93" s="124" t="n">
        <x:v>38</x:v>
      </x:c>
      <x:c r="I93" s="124" t="n">
        <x:v>7</x:v>
      </x:c>
      <x:c r="J93" s="124" t="str"/>
      <x:c r="K93" s="124" t="n">
        <x:v>2</x:v>
      </x:c>
      <x:c r="L93" s="62" t="str">
        <x:v>نظري</x:v>
      </x:c>
      <x:c r="M93" s="62" t="str">
        <x:v>إجبارية القسم</x:v>
      </x:c>
      <x:c r="N93" s="62" t="str">
        <x:v>قسم الشريعة</x:v>
      </x:c>
      <x:c r="O93" s="62" t="str">
        <x:v>خطط الإصدارات السابقة.pdf</x:v>
      </x:c>
      <x:c r="P93" s="122" t="str">
        <x:v>2001493-2||تخريج ودراسة الأسانيد</x:v>
      </x:c>
    </x:row>
    <x:row r="94" ht="34" customHeight="1">
      <x:c r="A94" s="124" t="n">
        <x:v>90</x:v>
      </x:c>
      <x:c r="B94" s="62" t="str">
        <x:v>مفقود بلا مصدر</x:v>
      </x:c>
      <x:c r="C94" s="99" t="str">
        <x:v>2002411-1</x:v>
      </x:c>
      <x:c r="D94" s="62" t="str">
        <x:v>القرآن الكريم (7)</x:v>
      </x:c>
      <x:c r="E94" s="62" t="str">
        <x:v>الشريعة</x:v>
      </x:c>
      <x:c r="F94" s="99" t="str">
        <x:v>بكالوريوس</x:v>
      </x:c>
      <x:c r="G94" s="99" t="str">
        <x:v>قديمة</x:v>
      </x:c>
      <x:c r="H94" s="124" t="n">
        <x:v>38</x:v>
      </x:c>
      <x:c r="I94" s="124" t="n">
        <x:v>7</x:v>
      </x:c>
      <x:c r="J94" s="124" t="str"/>
      <x:c r="K94" s="124" t="n">
        <x:v>1</x:v>
      </x:c>
      <x:c r="L94" s="62" t="str">
        <x:v>نظري</x:v>
      </x:c>
      <x:c r="M94" s="62" t="str">
        <x:v>إجبارية القسم</x:v>
      </x:c>
      <x:c r="N94" s="62" t="str">
        <x:v>قسم الشريعة</x:v>
      </x:c>
      <x:c r="O94" s="62" t="str">
        <x:v>خطط الإصدارات السابقة.pdf</x:v>
      </x:c>
      <x:c r="P94" s="122" t="str">
        <x:v>2002411-1||القرآن الكريم (7)</x:v>
      </x:c>
    </x:row>
    <x:row r="95" ht="34" customHeight="1">
      <x:c r="A95" s="124" t="n">
        <x:v>91</x:v>
      </x:c>
      <x:c r="B95" s="62" t="str">
        <x:v>مفقود بلا مصدر</x:v>
      </x:c>
      <x:c r="C95" s="99" t="str">
        <x:v>2002421-1</x:v>
      </x:c>
      <x:c r="D95" s="62" t="str">
        <x:v>القرآن الكريم (8)</x:v>
      </x:c>
      <x:c r="E95" s="62" t="str">
        <x:v>الشريعة</x:v>
      </x:c>
      <x:c r="F95" s="99" t="str">
        <x:v>بكالوريوس</x:v>
      </x:c>
      <x:c r="G95" s="99" t="str">
        <x:v>قديمة</x:v>
      </x:c>
      <x:c r="H95" s="124" t="n">
        <x:v>38</x:v>
      </x:c>
      <x:c r="I95" s="124" t="n">
        <x:v>8</x:v>
      </x:c>
      <x:c r="J95" s="124" t="str"/>
      <x:c r="K95" s="124" t="n">
        <x:v>1</x:v>
      </x:c>
      <x:c r="L95" s="62" t="str">
        <x:v>نظري</x:v>
      </x:c>
      <x:c r="M95" s="62" t="str">
        <x:v>إجبارية القسم</x:v>
      </x:c>
      <x:c r="N95" s="62" t="str">
        <x:v>قسم الشريعة</x:v>
      </x:c>
      <x:c r="O95" s="62" t="str">
        <x:v>خطط الإصدارات السابقة.pdf</x:v>
      </x:c>
      <x:c r="P95" s="122" t="str">
        <x:v>2002421-1||القرآن الكريم (8)</x:v>
      </x:c>
    </x:row>
    <x:row r="96" ht="34" customHeight="1">
      <x:c r="A96" s="124" t="n">
        <x:v>92</x:v>
      </x:c>
      <x:c r="B96" s="62" t="str">
        <x:v>مفقود بلا مصدر</x:v>
      </x:c>
      <x:c r="C96" s="99" t="str">
        <x:v>2001193-2</x:v>
      </x:c>
      <x:c r="D96" s="62" t="str">
        <x:v>علوم الحديث (1)</x:v>
      </x:c>
      <x:c r="E96" s="62" t="str">
        <x:v>الشريعة</x:v>
      </x:c>
      <x:c r="F96" s="99" t="str">
        <x:v>بكالوريوس</x:v>
      </x:c>
      <x:c r="G96" s="99" t="str">
        <x:v>قديمة</x:v>
      </x:c>
      <x:c r="H96" s="124" t="n">
        <x:v>39</x:v>
      </x:c>
      <x:c r="I96" s="124" t="n">
        <x:v>1</x:v>
      </x:c>
      <x:c r="J96" s="124" t="str"/>
      <x:c r="K96" s="124" t="n">
        <x:v>2</x:v>
      </x:c>
      <x:c r="L96" s="62" t="str">
        <x:v>نظري</x:v>
      </x:c>
      <x:c r="M96" s="62" t="str">
        <x:v>إجبارية القسم</x:v>
      </x:c>
      <x:c r="N96" s="62" t="str">
        <x:v>قسم الشريعة</x:v>
      </x:c>
      <x:c r="O96" s="62" t="str">
        <x:v>الشريعة 39.pdf</x:v>
      </x:c>
      <x:c r="P96" s="122" t="str">
        <x:v>2001193-2||علوم الحديث (1)</x:v>
      </x:c>
    </x:row>
    <x:row r="97" ht="34" customHeight="1">
      <x:c r="A97" s="124" t="n">
        <x:v>93</x:v>
      </x:c>
      <x:c r="B97" s="62" t="str">
        <x:v>مفقود بلا مصدر</x:v>
      </x:c>
      <x:c r="C97" s="99" t="str">
        <x:v>2002128-1</x:v>
      </x:c>
      <x:c r="D97" s="62" t="str">
        <x:v>القرآن الكريم (1)</x:v>
      </x:c>
      <x:c r="E97" s="62" t="str">
        <x:v>الشريعة</x:v>
      </x:c>
      <x:c r="F97" s="99" t="str">
        <x:v>بكالوريوس</x:v>
      </x:c>
      <x:c r="G97" s="99" t="str">
        <x:v>قديمة</x:v>
      </x:c>
      <x:c r="H97" s="124" t="n">
        <x:v>39</x:v>
      </x:c>
      <x:c r="I97" s="124" t="n">
        <x:v>1</x:v>
      </x:c>
      <x:c r="J97" s="124" t="str"/>
      <x:c r="K97" s="124" t="n">
        <x:v>1</x:v>
      </x:c>
      <x:c r="L97" s="62" t="str">
        <x:v>نظري</x:v>
      </x:c>
      <x:c r="M97" s="62" t="str">
        <x:v>إجبارية القسم</x:v>
      </x:c>
      <x:c r="N97" s="62" t="str">
        <x:v>قسم الشريعة</x:v>
      </x:c>
      <x:c r="O97" s="62" t="str">
        <x:v>الشريعة 39.pdf</x:v>
      </x:c>
      <x:c r="P97" s="122" t="str">
        <x:v>2002128-1||القرآن الكريم (1)</x:v>
      </x:c>
    </x:row>
    <x:row r="98" ht="34" customHeight="1">
      <x:c r="A98" s="124" t="n">
        <x:v>94</x:v>
      </x:c>
      <x:c r="B98" s="62" t="str">
        <x:v>مفقود بلا مصدر</x:v>
      </x:c>
      <x:c r="C98" s="99" t="str">
        <x:v>2002230-2</x:v>
      </x:c>
      <x:c r="D98" s="62" t="str">
        <x:v>علوم قرآن</x:v>
      </x:c>
      <x:c r="E98" s="62" t="str">
        <x:v>الشريعة</x:v>
      </x:c>
      <x:c r="F98" s="99" t="str">
        <x:v>بكالوريوس</x:v>
      </x:c>
      <x:c r="G98" s="99" t="str">
        <x:v>قديمة</x:v>
      </x:c>
      <x:c r="H98" s="124" t="n">
        <x:v>39</x:v>
      </x:c>
      <x:c r="I98" s="124" t="n">
        <x:v>1</x:v>
      </x:c>
      <x:c r="J98" s="124" t="str"/>
      <x:c r="K98" s="124" t="n">
        <x:v>2</x:v>
      </x:c>
      <x:c r="L98" s="62" t="str">
        <x:v>نظري</x:v>
      </x:c>
      <x:c r="M98" s="62" t="str">
        <x:v>إجبارية القسم</x:v>
      </x:c>
      <x:c r="N98" s="62" t="str">
        <x:v>قسم الشريعة</x:v>
      </x:c>
      <x:c r="O98" s="62" t="str">
        <x:v>الشريعة 39.pdf</x:v>
      </x:c>
      <x:c r="P98" s="122" t="str">
        <x:v>2002230-2||علوم قرآن</x:v>
      </x:c>
    </x:row>
    <x:row r="99" ht="34" customHeight="1">
      <x:c r="A99" s="124" t="n">
        <x:v>95</x:v>
      </x:c>
      <x:c r="B99" s="62" t="str">
        <x:v>مفقود بلا مصدر</x:v>
      </x:c>
      <x:c r="C99" s="99" t="str">
        <x:v>2001192-2</x:v>
      </x:c>
      <x:c r="D99" s="62" t="str">
        <x:v>علوم الحديث (2)</x:v>
      </x:c>
      <x:c r="E99" s="62" t="str">
        <x:v>الشريعة</x:v>
      </x:c>
      <x:c r="F99" s="99" t="str">
        <x:v>بكالوريوس</x:v>
      </x:c>
      <x:c r="G99" s="99" t="str">
        <x:v>قديمة</x:v>
      </x:c>
      <x:c r="H99" s="124" t="n">
        <x:v>39</x:v>
      </x:c>
      <x:c r="I99" s="124" t="n">
        <x:v>2</x:v>
      </x:c>
      <x:c r="J99" s="124" t="str"/>
      <x:c r="K99" s="124" t="n">
        <x:v>2</x:v>
      </x:c>
      <x:c r="L99" s="62" t="str">
        <x:v>نظري</x:v>
      </x:c>
      <x:c r="M99" s="62" t="str">
        <x:v>إجبارية القسم</x:v>
      </x:c>
      <x:c r="N99" s="62" t="str">
        <x:v>قسم الشريعة</x:v>
      </x:c>
      <x:c r="O99" s="62" t="str">
        <x:v>الشريعة 39.pdf</x:v>
      </x:c>
      <x:c r="P99" s="122" t="str">
        <x:v>2001192-2||علوم الحديث (2)</x:v>
      </x:c>
    </x:row>
    <x:row r="100" ht="34" customHeight="1">
      <x:c r="A100" s="124" t="n">
        <x:v>96</x:v>
      </x:c>
      <x:c r="B100" s="62" t="str">
        <x:v>مفقود بلا مصدر</x:v>
      </x:c>
      <x:c r="C100" s="99" t="str">
        <x:v>2002129-1</x:v>
      </x:c>
      <x:c r="D100" s="62" t="str">
        <x:v>القرآن الكريم (2)</x:v>
      </x:c>
      <x:c r="E100" s="62" t="str">
        <x:v>الشريعة</x:v>
      </x:c>
      <x:c r="F100" s="99" t="str">
        <x:v>بكالوريوس</x:v>
      </x:c>
      <x:c r="G100" s="99" t="str">
        <x:v>قديمة</x:v>
      </x:c>
      <x:c r="H100" s="124" t="n">
        <x:v>39</x:v>
      </x:c>
      <x:c r="I100" s="124" t="n">
        <x:v>2</x:v>
      </x:c>
      <x:c r="J100" s="124" t="str"/>
      <x:c r="K100" s="124" t="n">
        <x:v>1</x:v>
      </x:c>
      <x:c r="L100" s="62" t="str">
        <x:v>نظري</x:v>
      </x:c>
      <x:c r="M100" s="62" t="str">
        <x:v>إجبارية القسم</x:v>
      </x:c>
      <x:c r="N100" s="62" t="str">
        <x:v>قسم الشريعة</x:v>
      </x:c>
      <x:c r="O100" s="62" t="str">
        <x:v>الشريعة 39.pdf</x:v>
      </x:c>
      <x:c r="P100" s="122" t="str">
        <x:v>2002129-1||القرآن الكريم (2)</x:v>
      </x:c>
    </x:row>
    <x:row r="101" ht="34" customHeight="1">
      <x:c r="A101" s="124" t="n">
        <x:v>97</x:v>
      </x:c>
      <x:c r="B101" s="62" t="str">
        <x:v>مفقود بلا مصدر</x:v>
      </x:c>
      <x:c r="C101" s="99" t="str">
        <x:v>2002241-2</x:v>
      </x:c>
      <x:c r="D101" s="62" t="str">
        <x:v>تفسير آيات الأحكام (1)</x:v>
      </x:c>
      <x:c r="E101" s="62" t="str">
        <x:v>الشريعة</x:v>
      </x:c>
      <x:c r="F101" s="99" t="str">
        <x:v>بكالوريوس</x:v>
      </x:c>
      <x:c r="G101" s="99" t="str">
        <x:v>قديمة</x:v>
      </x:c>
      <x:c r="H101" s="124" t="n">
        <x:v>39</x:v>
      </x:c>
      <x:c r="I101" s="124" t="n">
        <x:v>2</x:v>
      </x:c>
      <x:c r="J101" s="124" t="str"/>
      <x:c r="K101" s="124" t="n">
        <x:v>2</x:v>
      </x:c>
      <x:c r="L101" s="62" t="str">
        <x:v>نظري</x:v>
      </x:c>
      <x:c r="M101" s="62" t="str">
        <x:v>إجبارية القسم</x:v>
      </x:c>
      <x:c r="N101" s="62" t="str">
        <x:v>قسم الشريعة</x:v>
      </x:c>
      <x:c r="O101" s="62" t="str">
        <x:v>الشريعة 39.pdf</x:v>
      </x:c>
      <x:c r="P101" s="122" t="str">
        <x:v>2002241-2||تفسير آيات الأحكام (1)</x:v>
      </x:c>
    </x:row>
    <x:row r="102" ht="34" customHeight="1">
      <x:c r="A102" s="124" t="n">
        <x:v>98</x:v>
      </x:c>
      <x:c r="B102" s="62" t="str">
        <x:v>مفقود بلا مصدر</x:v>
      </x:c>
      <x:c r="C102" s="99" t="str">
        <x:v>2001219-3</x:v>
      </x:c>
      <x:c r="D102" s="62" t="str">
        <x:v>أدلة الأحكام الشرعية (1)</x:v>
      </x:c>
      <x:c r="E102" s="62" t="str">
        <x:v>الشريعة</x:v>
      </x:c>
      <x:c r="F102" s="99" t="str">
        <x:v>بكالوريوس</x:v>
      </x:c>
      <x:c r="G102" s="99" t="str">
        <x:v>قديمة</x:v>
      </x:c>
      <x:c r="H102" s="124" t="n">
        <x:v>39</x:v>
      </x:c>
      <x:c r="I102" s="124" t="n">
        <x:v>3</x:v>
      </x:c>
      <x:c r="J102" s="124" t="str"/>
      <x:c r="K102" s="124" t="n">
        <x:v>3</x:v>
      </x:c>
      <x:c r="L102" s="62" t="str">
        <x:v>نظري</x:v>
      </x:c>
      <x:c r="M102" s="62" t="str">
        <x:v>إجبارية القسم</x:v>
      </x:c>
      <x:c r="N102" s="62" t="str">
        <x:v>قسم الشريعة</x:v>
      </x:c>
      <x:c r="O102" s="62" t="str">
        <x:v>الشريعة 39.pdf</x:v>
      </x:c>
      <x:c r="P102" s="122" t="str">
        <x:v>2001219-3||أدلة الأحكام الشرعية (1)</x:v>
      </x:c>
    </x:row>
    <x:row r="103" ht="34" customHeight="1">
      <x:c r="A103" s="124" t="n">
        <x:v>99</x:v>
      </x:c>
      <x:c r="B103" s="62" t="str">
        <x:v>مفقود بلا مصدر</x:v>
      </x:c>
      <x:c r="C103" s="99" t="str">
        <x:v>2001231-2</x:v>
      </x:c>
      <x:c r="D103" s="62" t="str">
        <x:v>أحاديث الأحكام (1)</x:v>
      </x:c>
      <x:c r="E103" s="62" t="str">
        <x:v>الشريعة</x:v>
      </x:c>
      <x:c r="F103" s="99" t="str">
        <x:v>بكالوريوس</x:v>
      </x:c>
      <x:c r="G103" s="99" t="str">
        <x:v>قديمة</x:v>
      </x:c>
      <x:c r="H103" s="124" t="n">
        <x:v>39</x:v>
      </x:c>
      <x:c r="I103" s="124" t="n">
        <x:v>3</x:v>
      </x:c>
      <x:c r="J103" s="124" t="str"/>
      <x:c r="K103" s="124" t="n">
        <x:v>2</x:v>
      </x:c>
      <x:c r="L103" s="62" t="str">
        <x:v>نظري</x:v>
      </x:c>
      <x:c r="M103" s="62" t="str">
        <x:v>إجبارية القسم</x:v>
      </x:c>
      <x:c r="N103" s="62" t="str">
        <x:v>قسم الشريعة</x:v>
      </x:c>
      <x:c r="O103" s="62" t="str">
        <x:v>الشريعة 39.pdf</x:v>
      </x:c>
      <x:c r="P103" s="122" t="str">
        <x:v>2001231-2||أحاديث الأحكام (1)</x:v>
      </x:c>
    </x:row>
    <x:row r="104" ht="34" customHeight="1">
      <x:c r="A104" s="124" t="n">
        <x:v>100</x:v>
      </x:c>
      <x:c r="B104" s="62" t="str">
        <x:v>مفقود بلا مصدر</x:v>
      </x:c>
      <x:c r="C104" s="99" t="str">
        <x:v>2002211-1</x:v>
      </x:c>
      <x:c r="D104" s="62" t="str">
        <x:v>القرآن الكريم (3)</x:v>
      </x:c>
      <x:c r="E104" s="62" t="str">
        <x:v>الشريعة</x:v>
      </x:c>
      <x:c r="F104" s="99" t="str">
        <x:v>بكالوريوس</x:v>
      </x:c>
      <x:c r="G104" s="99" t="str">
        <x:v>قديمة</x:v>
      </x:c>
      <x:c r="H104" s="124" t="n">
        <x:v>39</x:v>
      </x:c>
      <x:c r="I104" s="124" t="n">
        <x:v>3</x:v>
      </x:c>
      <x:c r="J104" s="124" t="str"/>
      <x:c r="K104" s="124" t="n">
        <x:v>1</x:v>
      </x:c>
      <x:c r="L104" s="62" t="str">
        <x:v>نظري</x:v>
      </x:c>
      <x:c r="M104" s="62" t="str">
        <x:v>إجبارية القسم</x:v>
      </x:c>
      <x:c r="N104" s="62" t="str">
        <x:v>قسم الشريعة</x:v>
      </x:c>
      <x:c r="O104" s="62" t="str">
        <x:v>الشريعة 39.pdf</x:v>
      </x:c>
      <x:c r="P104" s="122" t="str">
        <x:v>2002211-1||القرآن الكريم (3)</x:v>
      </x:c>
    </x:row>
    <x:row r="105" ht="34" customHeight="1">
      <x:c r="A105" s="124" t="n">
        <x:v>101</x:v>
      </x:c>
      <x:c r="B105" s="62" t="str">
        <x:v>مفقود بلا مصدر</x:v>
      </x:c>
      <x:c r="C105" s="99" t="str">
        <x:v>2002242-2</x:v>
      </x:c>
      <x:c r="D105" s="62" t="str">
        <x:v>تفسير آيات الأحكام (2)</x:v>
      </x:c>
      <x:c r="E105" s="62" t="str">
        <x:v>الشريعة</x:v>
      </x:c>
      <x:c r="F105" s="99" t="str">
        <x:v>بكالوريوس</x:v>
      </x:c>
      <x:c r="G105" s="99" t="str">
        <x:v>قديمة</x:v>
      </x:c>
      <x:c r="H105" s="124" t="n">
        <x:v>39</x:v>
      </x:c>
      <x:c r="I105" s="124" t="n">
        <x:v>3</x:v>
      </x:c>
      <x:c r="J105" s="124" t="str"/>
      <x:c r="K105" s="124" t="n">
        <x:v>2</x:v>
      </x:c>
      <x:c r="L105" s="62" t="str">
        <x:v>نظري</x:v>
      </x:c>
      <x:c r="M105" s="62" t="str">
        <x:v>إجبارية القسم</x:v>
      </x:c>
      <x:c r="N105" s="62" t="str">
        <x:v>قسم الشريعة</x:v>
      </x:c>
      <x:c r="O105" s="62" t="str">
        <x:v>الشريعة 39.pdf</x:v>
      </x:c>
      <x:c r="P105" s="122" t="str">
        <x:v>2002242-2||تفسير آيات الأحكام (2)</x:v>
      </x:c>
    </x:row>
    <x:row r="106" ht="34" customHeight="1">
      <x:c r="A106" s="124" t="n">
        <x:v>102</x:v>
      </x:c>
      <x:c r="B106" s="62" t="str">
        <x:v>مفقود بلا مصدر</x:v>
      </x:c>
      <x:c r="C106" s="99" t="str">
        <x:v>2001217-4</x:v>
      </x:c>
      <x:c r="D106" s="62" t="str">
        <x:v>أدلة الأحكام الشرعية (2)</x:v>
      </x:c>
      <x:c r="E106" s="62" t="str">
        <x:v>الشريعة</x:v>
      </x:c>
      <x:c r="F106" s="99" t="str">
        <x:v>بكالوريوس</x:v>
      </x:c>
      <x:c r="G106" s="99" t="str">
        <x:v>قديمة</x:v>
      </x:c>
      <x:c r="H106" s="124" t="n">
        <x:v>39</x:v>
      </x:c>
      <x:c r="I106" s="124" t="n">
        <x:v>4</x:v>
      </x:c>
      <x:c r="J106" s="124" t="str"/>
      <x:c r="K106" s="124" t="n">
        <x:v>4</x:v>
      </x:c>
      <x:c r="L106" s="62" t="str">
        <x:v>نظري</x:v>
      </x:c>
      <x:c r="M106" s="62" t="str">
        <x:v>إجبارية القسم</x:v>
      </x:c>
      <x:c r="N106" s="62" t="str">
        <x:v>قسم الشريعة</x:v>
      </x:c>
      <x:c r="O106" s="62" t="str">
        <x:v>الشريعة 39.pdf</x:v>
      </x:c>
      <x:c r="P106" s="122" t="str">
        <x:v>2001217-4||أدلة الأحكام الشرعية (2)</x:v>
      </x:c>
    </x:row>
    <x:row r="107" ht="34" customHeight="1">
      <x:c r="A107" s="124" t="n">
        <x:v>103</x:v>
      </x:c>
      <x:c r="B107" s="62" t="str">
        <x:v>مفقود بلا مصدر</x:v>
      </x:c>
      <x:c r="C107" s="99" t="str">
        <x:v>2001332-2</x:v>
      </x:c>
      <x:c r="D107" s="62" t="str">
        <x:v>أحاديث الأحكام (2)</x:v>
      </x:c>
      <x:c r="E107" s="62" t="str">
        <x:v>الشريعة</x:v>
      </x:c>
      <x:c r="F107" s="99" t="str">
        <x:v>بكالوريوس</x:v>
      </x:c>
      <x:c r="G107" s="99" t="str">
        <x:v>قديمة</x:v>
      </x:c>
      <x:c r="H107" s="124" t="n">
        <x:v>39</x:v>
      </x:c>
      <x:c r="I107" s="124" t="n">
        <x:v>4</x:v>
      </x:c>
      <x:c r="J107" s="124" t="str"/>
      <x:c r="K107" s="124" t="n">
        <x:v>2</x:v>
      </x:c>
      <x:c r="L107" s="62" t="str">
        <x:v>نظري</x:v>
      </x:c>
      <x:c r="M107" s="62" t="str">
        <x:v>إجبارية القسم</x:v>
      </x:c>
      <x:c r="N107" s="62" t="str">
        <x:v>قسم الشريعة</x:v>
      </x:c>
      <x:c r="O107" s="62" t="str">
        <x:v>الشريعة 39.pdf</x:v>
      </x:c>
      <x:c r="P107" s="122" t="str">
        <x:v>2001332-2||أحاديث الأحكام (2)</x:v>
      </x:c>
    </x:row>
    <x:row r="108" ht="34" customHeight="1">
      <x:c r="A108" s="124" t="n">
        <x:v>104</x:v>
      </x:c>
      <x:c r="B108" s="62" t="str">
        <x:v>مفقود بلا مصدر</x:v>
      </x:c>
      <x:c r="C108" s="99" t="str">
        <x:v>2002221-1</x:v>
      </x:c>
      <x:c r="D108" s="62" t="str">
        <x:v>القرآن الكريم (4)</x:v>
      </x:c>
      <x:c r="E108" s="62" t="str">
        <x:v>الشريعة</x:v>
      </x:c>
      <x:c r="F108" s="99" t="str">
        <x:v>بكالوريوس</x:v>
      </x:c>
      <x:c r="G108" s="99" t="str">
        <x:v>قديمة</x:v>
      </x:c>
      <x:c r="H108" s="124" t="n">
        <x:v>39</x:v>
      </x:c>
      <x:c r="I108" s="124" t="n">
        <x:v>4</x:v>
      </x:c>
      <x:c r="J108" s="124" t="str"/>
      <x:c r="K108" s="124" t="n">
        <x:v>1</x:v>
      </x:c>
      <x:c r="L108" s="62" t="str">
        <x:v>نظري</x:v>
      </x:c>
      <x:c r="M108" s="62" t="str">
        <x:v>إجبارية القسم</x:v>
      </x:c>
      <x:c r="N108" s="62" t="str">
        <x:v>قسم الشريعة</x:v>
      </x:c>
      <x:c r="O108" s="62" t="str">
        <x:v>الشريعة 39.pdf</x:v>
      </x:c>
      <x:c r="P108" s="122" t="str">
        <x:v>2002221-1||القرآن الكريم (4)</x:v>
      </x:c>
    </x:row>
    <x:row r="109" ht="34" customHeight="1">
      <x:c r="A109" s="124" t="n">
        <x:v>105</x:v>
      </x:c>
      <x:c r="B109" s="62" t="str">
        <x:v>مفقود بلا مصدر</x:v>
      </x:c>
      <x:c r="C109" s="99" t="str">
        <x:v>2002343-2</x:v>
      </x:c>
      <x:c r="D109" s="62" t="str">
        <x:v>تفسير آيات الأحكام (3)</x:v>
      </x:c>
      <x:c r="E109" s="62" t="str">
        <x:v>الشريعة</x:v>
      </x:c>
      <x:c r="F109" s="99" t="str">
        <x:v>بكالوريوس</x:v>
      </x:c>
      <x:c r="G109" s="99" t="str">
        <x:v>قديمة</x:v>
      </x:c>
      <x:c r="H109" s="124" t="n">
        <x:v>39</x:v>
      </x:c>
      <x:c r="I109" s="124" t="n">
        <x:v>4</x:v>
      </x:c>
      <x:c r="J109" s="124" t="str"/>
      <x:c r="K109" s="124" t="n">
        <x:v>2</x:v>
      </x:c>
      <x:c r="L109" s="62" t="str">
        <x:v>نظري</x:v>
      </x:c>
      <x:c r="M109" s="62" t="str">
        <x:v>إجبارية القسم</x:v>
      </x:c>
      <x:c r="N109" s="62" t="str">
        <x:v>قسم الشريعة</x:v>
      </x:c>
      <x:c r="O109" s="62" t="str">
        <x:v>الشريعة 39.pdf</x:v>
      </x:c>
      <x:c r="P109" s="122" t="str">
        <x:v>2002343-2||تفسير آيات الأحكام (3)</x:v>
      </x:c>
    </x:row>
    <x:row r="110" ht="34" customHeight="1">
      <x:c r="A110" s="124" t="n">
        <x:v>106</x:v>
      </x:c>
      <x:c r="B110" s="62" t="str">
        <x:v>مفقود بلا مصدر</x:v>
      </x:c>
      <x:c r="C110" s="99" t="str">
        <x:v>20032202-2</x:v>
      </x:c>
      <x:c r="D110" s="62" t="str">
        <x:v>المدخل إلى دراسة الأنظمة</x:v>
      </x:c>
      <x:c r="E110" s="62" t="str">
        <x:v>الشريعة</x:v>
      </x:c>
      <x:c r="F110" s="99" t="str">
        <x:v>بكالوريوس</x:v>
      </x:c>
      <x:c r="G110" s="99" t="str">
        <x:v>قديمة</x:v>
      </x:c>
      <x:c r="H110" s="124" t="n">
        <x:v>39</x:v>
      </x:c>
      <x:c r="I110" s="124" t="n">
        <x:v>4</x:v>
      </x:c>
      <x:c r="J110" s="124" t="str"/>
      <x:c r="K110" s="124" t="n">
        <x:v>2</x:v>
      </x:c>
      <x:c r="L110" s="62" t="str">
        <x:v>نظري</x:v>
      </x:c>
      <x:c r="M110" s="62" t="str">
        <x:v>إجبارية القسم</x:v>
      </x:c>
      <x:c r="N110" s="62" t="str">
        <x:v>قسم الشريعة</x:v>
      </x:c>
      <x:c r="O110" s="62" t="str">
        <x:v>الشريعة 39.pdf</x:v>
      </x:c>
      <x:c r="P110" s="122" t="str">
        <x:v>20032202-2||المدخل إلى دراسة الأنظمة</x:v>
      </x:c>
    </x:row>
    <x:row r="111" ht="34" customHeight="1">
      <x:c r="A111" s="124" t="n">
        <x:v>107</x:v>
      </x:c>
      <x:c r="B111" s="62" t="str">
        <x:v>مفقود بلا مصدر</x:v>
      </x:c>
      <x:c r="C111" s="99" t="str">
        <x:v>2002311-1</x:v>
      </x:c>
      <x:c r="D111" s="62" t="str">
        <x:v>القرآن الكريم (5)</x:v>
      </x:c>
      <x:c r="E111" s="62" t="str">
        <x:v>الشريعة</x:v>
      </x:c>
      <x:c r="F111" s="99" t="str">
        <x:v>بكالوريوس</x:v>
      </x:c>
      <x:c r="G111" s="99" t="str">
        <x:v>قديمة</x:v>
      </x:c>
      <x:c r="H111" s="124" t="n">
        <x:v>39</x:v>
      </x:c>
      <x:c r="I111" s="124" t="n">
        <x:v>5</x:v>
      </x:c>
      <x:c r="J111" s="124" t="str"/>
      <x:c r="K111" s="124" t="n">
        <x:v>1</x:v>
      </x:c>
      <x:c r="L111" s="62" t="str">
        <x:v>نظري</x:v>
      </x:c>
      <x:c r="M111" s="62" t="str">
        <x:v>إجبارية القسم</x:v>
      </x:c>
      <x:c r="N111" s="62" t="str">
        <x:v>قسم الشريعة</x:v>
      </x:c>
      <x:c r="O111" s="62" t="str">
        <x:v>الشريعة 39.pdf</x:v>
      </x:c>
      <x:c r="P111" s="122" t="str">
        <x:v>2002311-1||القرآن الكريم (5)</x:v>
      </x:c>
    </x:row>
    <x:row r="112" ht="34" customHeight="1">
      <x:c r="A112" s="124" t="n">
        <x:v>108</x:v>
      </x:c>
      <x:c r="B112" s="62" t="str">
        <x:v>مفقود بلا مصدر</x:v>
      </x:c>
      <x:c r="C112" s="99" t="str">
        <x:v>2001280-2</x:v>
      </x:c>
      <x:c r="D112" s="62" t="str">
        <x:v>أصول الدعوة والحسبة</x:v>
      </x:c>
      <x:c r="E112" s="62" t="str">
        <x:v>الشريعة</x:v>
      </x:c>
      <x:c r="F112" s="99" t="str">
        <x:v>بكالوريوس</x:v>
      </x:c>
      <x:c r="G112" s="99" t="str">
        <x:v>قديمة</x:v>
      </x:c>
      <x:c r="H112" s="124" t="n">
        <x:v>39</x:v>
      </x:c>
      <x:c r="I112" s="124" t="n">
        <x:v>6</x:v>
      </x:c>
      <x:c r="J112" s="124" t="str"/>
      <x:c r="K112" s="124" t="n">
        <x:v>2</x:v>
      </x:c>
      <x:c r="L112" s="62" t="str">
        <x:v>نظري</x:v>
      </x:c>
      <x:c r="M112" s="62" t="str">
        <x:v>إجبارية القسم</x:v>
      </x:c>
      <x:c r="N112" s="62" t="str">
        <x:v>قسم الشريعة</x:v>
      </x:c>
      <x:c r="O112" s="62" t="str">
        <x:v>الشريعة 39.pdf</x:v>
      </x:c>
      <x:c r="P112" s="122" t="str">
        <x:v>2001280-2||أصول الدعوة والحسبة</x:v>
      </x:c>
    </x:row>
    <x:row r="113" ht="34" customHeight="1">
      <x:c r="A113" s="124" t="n">
        <x:v>109</x:v>
      </x:c>
      <x:c r="B113" s="62" t="str">
        <x:v>مفقود بلا مصدر</x:v>
      </x:c>
      <x:c r="C113" s="99" t="str">
        <x:v>2001301-2</x:v>
      </x:c>
      <x:c r="D113" s="62" t="str">
        <x:v>تدوين السنة</x:v>
      </x:c>
      <x:c r="E113" s="62" t="str">
        <x:v>الشريعة</x:v>
      </x:c>
      <x:c r="F113" s="99" t="str">
        <x:v>بكالوريوس</x:v>
      </x:c>
      <x:c r="G113" s="99" t="str">
        <x:v>قديمة</x:v>
      </x:c>
      <x:c r="H113" s="124" t="n">
        <x:v>39</x:v>
      </x:c>
      <x:c r="I113" s="124" t="n">
        <x:v>6</x:v>
      </x:c>
      <x:c r="J113" s="124" t="str"/>
      <x:c r="K113" s="124" t="n">
        <x:v>2</x:v>
      </x:c>
      <x:c r="L113" s="62" t="str">
        <x:v>نظري</x:v>
      </x:c>
      <x:c r="M113" s="62" t="str">
        <x:v>إجبارية القسم</x:v>
      </x:c>
      <x:c r="N113" s="62" t="str">
        <x:v>قسم الشريعة</x:v>
      </x:c>
      <x:c r="O113" s="62" t="str">
        <x:v>الشريعة 39.pdf</x:v>
      </x:c>
      <x:c r="P113" s="122" t="str">
        <x:v>2001301-2||تدوين السنة</x:v>
      </x:c>
    </x:row>
    <x:row r="114" ht="34" customHeight="1">
      <x:c r="A114" s="124" t="n">
        <x:v>110</x:v>
      </x:c>
      <x:c r="B114" s="62" t="str">
        <x:v>مفقود بلا مصدر</x:v>
      </x:c>
      <x:c r="C114" s="99" t="str">
        <x:v>2002312-1</x:v>
      </x:c>
      <x:c r="D114" s="62" t="str">
        <x:v>القرآن الكريم (6)</x:v>
      </x:c>
      <x:c r="E114" s="62" t="str">
        <x:v>الشريعة</x:v>
      </x:c>
      <x:c r="F114" s="99" t="str">
        <x:v>بكالوريوس</x:v>
      </x:c>
      <x:c r="G114" s="99" t="str">
        <x:v>قديمة</x:v>
      </x:c>
      <x:c r="H114" s="124" t="n">
        <x:v>39</x:v>
      </x:c>
      <x:c r="I114" s="124" t="n">
        <x:v>6</x:v>
      </x:c>
      <x:c r="J114" s="124" t="str"/>
      <x:c r="K114" s="124" t="n">
        <x:v>1</x:v>
      </x:c>
      <x:c r="L114" s="62" t="str">
        <x:v>نظري</x:v>
      </x:c>
      <x:c r="M114" s="62" t="str">
        <x:v>إجبارية القسم</x:v>
      </x:c>
      <x:c r="N114" s="62" t="str">
        <x:v>قسم الشريعة</x:v>
      </x:c>
      <x:c r="O114" s="62" t="str">
        <x:v>الشريعة 39.pdf</x:v>
      </x:c>
      <x:c r="P114" s="122" t="str">
        <x:v>2002312-1||القرآن الكريم (6)</x:v>
      </x:c>
    </x:row>
    <x:row r="115" ht="34" customHeight="1">
      <x:c r="A115" s="124" t="n">
        <x:v>111</x:v>
      </x:c>
      <x:c r="B115" s="62" t="str">
        <x:v>مفقود بلا مصدر</x:v>
      </x:c>
      <x:c r="C115" s="99" t="str">
        <x:v>2003325-1</x:v>
      </x:c>
      <x:c r="D115" s="62" t="str">
        <x:v>نظام المرافعات الشرعية</x:v>
      </x:c>
      <x:c r="E115" s="62" t="str">
        <x:v>الشريعة</x:v>
      </x:c>
      <x:c r="F115" s="99" t="str">
        <x:v>بكالوريوس</x:v>
      </x:c>
      <x:c r="G115" s="99" t="str">
        <x:v>قديمة</x:v>
      </x:c>
      <x:c r="H115" s="124" t="n">
        <x:v>39</x:v>
      </x:c>
      <x:c r="I115" s="124" t="n">
        <x:v>6</x:v>
      </x:c>
      <x:c r="J115" s="124" t="str"/>
      <x:c r="K115" s="124" t="n">
        <x:v>1</x:v>
      </x:c>
      <x:c r="L115" s="62" t="str">
        <x:v>نظري</x:v>
      </x:c>
      <x:c r="M115" s="62" t="str">
        <x:v>إجبارية القسم</x:v>
      </x:c>
      <x:c r="N115" s="62" t="str">
        <x:v>قسم الشريعة</x:v>
      </x:c>
      <x:c r="O115" s="62" t="str">
        <x:v>الشريعة 39.pdf</x:v>
      </x:c>
      <x:c r="P115" s="122" t="str">
        <x:v>2003325-1||نظام المرافعات الشرعية</x:v>
      </x:c>
    </x:row>
    <x:row r="116" ht="34" customHeight="1">
      <x:c r="A116" s="124" t="n">
        <x:v>112</x:v>
      </x:c>
      <x:c r="B116" s="62" t="str">
        <x:v>مفقود بلا مصدر</x:v>
      </x:c>
      <x:c r="C116" s="99" t="str">
        <x:v>2003328-1</x:v>
      </x:c>
      <x:c r="D116" s="62" t="str">
        <x:v>نظام الإجراءات الجزائية</x:v>
      </x:c>
      <x:c r="E116" s="62" t="str">
        <x:v>الشريعة</x:v>
      </x:c>
      <x:c r="F116" s="99" t="str">
        <x:v>بكالوريوس</x:v>
      </x:c>
      <x:c r="G116" s="99" t="str">
        <x:v>قديمة</x:v>
      </x:c>
      <x:c r="H116" s="124" t="n">
        <x:v>39</x:v>
      </x:c>
      <x:c r="I116" s="124" t="n">
        <x:v>6</x:v>
      </x:c>
      <x:c r="J116" s="124" t="str"/>
      <x:c r="K116" s="124" t="n">
        <x:v>1</x:v>
      </x:c>
      <x:c r="L116" s="62" t="str">
        <x:v>نظري</x:v>
      </x:c>
      <x:c r="M116" s="62" t="str">
        <x:v>إجبارية القسم</x:v>
      </x:c>
      <x:c r="N116" s="62" t="str">
        <x:v>قسم الشريعة</x:v>
      </x:c>
      <x:c r="O116" s="62" t="str">
        <x:v>الشريعة 39.pdf</x:v>
      </x:c>
      <x:c r="P116" s="122" t="str">
        <x:v>2003328-1||نظام الإجراءات الجزائية</x:v>
      </x:c>
    </x:row>
    <x:row r="117" ht="34" customHeight="1">
      <x:c r="A117" s="124" t="n">
        <x:v>113</x:v>
      </x:c>
      <x:c r="B117" s="62" t="str">
        <x:v>مفقود بلا مصدر</x:v>
      </x:c>
      <x:c r="C117" s="99" t="str">
        <x:v>2001493-2</x:v>
      </x:c>
      <x:c r="D117" s="62" t="str">
        <x:v>تخريج ودراسة الأسانيد</x:v>
      </x:c>
      <x:c r="E117" s="62" t="str">
        <x:v>الشريعة</x:v>
      </x:c>
      <x:c r="F117" s="99" t="str">
        <x:v>بكالوريوس</x:v>
      </x:c>
      <x:c r="G117" s="99" t="str">
        <x:v>قديمة</x:v>
      </x:c>
      <x:c r="H117" s="124" t="n">
        <x:v>39</x:v>
      </x:c>
      <x:c r="I117" s="124" t="n">
        <x:v>7</x:v>
      </x:c>
      <x:c r="J117" s="124" t="str"/>
      <x:c r="K117" s="124" t="n">
        <x:v>2</x:v>
      </x:c>
      <x:c r="L117" s="62" t="str">
        <x:v>نظري</x:v>
      </x:c>
      <x:c r="M117" s="62" t="str">
        <x:v>إجبارية القسم</x:v>
      </x:c>
      <x:c r="N117" s="62" t="str">
        <x:v>قسم الشريعة</x:v>
      </x:c>
      <x:c r="O117" s="62" t="str">
        <x:v>الشريعة 39.pdf</x:v>
      </x:c>
      <x:c r="P117" s="122" t="str">
        <x:v>2001493-2||تخريج ودراسة الأسانيد</x:v>
      </x:c>
    </x:row>
    <x:row r="118" ht="34" customHeight="1">
      <x:c r="A118" s="124" t="n">
        <x:v>114</x:v>
      </x:c>
      <x:c r="B118" s="62" t="str">
        <x:v>مفقود بلا مصدر</x:v>
      </x:c>
      <x:c r="C118" s="99" t="str">
        <x:v>2002411-1</x:v>
      </x:c>
      <x:c r="D118" s="62" t="str">
        <x:v>القرآن الكريم (7)</x:v>
      </x:c>
      <x:c r="E118" s="62" t="str">
        <x:v>الشريعة</x:v>
      </x:c>
      <x:c r="F118" s="99" t="str">
        <x:v>بكالوريوس</x:v>
      </x:c>
      <x:c r="G118" s="99" t="str">
        <x:v>قديمة</x:v>
      </x:c>
      <x:c r="H118" s="124" t="n">
        <x:v>39</x:v>
      </x:c>
      <x:c r="I118" s="124" t="n">
        <x:v>7</x:v>
      </x:c>
      <x:c r="J118" s="124" t="str"/>
      <x:c r="K118" s="124" t="n">
        <x:v>1</x:v>
      </x:c>
      <x:c r="L118" s="62" t="str">
        <x:v>نظري</x:v>
      </x:c>
      <x:c r="M118" s="62" t="str">
        <x:v>إجبارية القسم</x:v>
      </x:c>
      <x:c r="N118" s="62" t="str">
        <x:v>قسم الشريعة</x:v>
      </x:c>
      <x:c r="O118" s="62" t="str">
        <x:v>الشريعة 39.pdf</x:v>
      </x:c>
      <x:c r="P118" s="122" t="str">
        <x:v>2002411-1||القرآن الكريم (7)</x:v>
      </x:c>
    </x:row>
    <x:row r="119" ht="34" customHeight="1">
      <x:c r="A119" s="124" t="n">
        <x:v>115</x:v>
      </x:c>
      <x:c r="B119" s="62" t="str">
        <x:v>مفقود بلا مصدر</x:v>
      </x:c>
      <x:c r="C119" s="99" t="str">
        <x:v>2002421-1</x:v>
      </x:c>
      <x:c r="D119" s="62" t="str">
        <x:v>القرآن الكريم (8)</x:v>
      </x:c>
      <x:c r="E119" s="62" t="str">
        <x:v>الشريعة</x:v>
      </x:c>
      <x:c r="F119" s="99" t="str">
        <x:v>بكالوريوس</x:v>
      </x:c>
      <x:c r="G119" s="99" t="str">
        <x:v>قديمة</x:v>
      </x:c>
      <x:c r="H119" s="124" t="n">
        <x:v>39</x:v>
      </x:c>
      <x:c r="I119" s="124" t="n">
        <x:v>8</x:v>
      </x:c>
      <x:c r="J119" s="124" t="str"/>
      <x:c r="K119" s="124" t="n">
        <x:v>1</x:v>
      </x:c>
      <x:c r="L119" s="62" t="str">
        <x:v>نظري</x:v>
      </x:c>
      <x:c r="M119" s="62" t="str">
        <x:v>إجبارية القسم</x:v>
      </x:c>
      <x:c r="N119" s="62" t="str">
        <x:v>قسم الشريعة</x:v>
      </x:c>
      <x:c r="O119" s="62" t="str">
        <x:v>الشريعة 39.pdf</x:v>
      </x:c>
      <x:c r="P119" s="122" t="str">
        <x:v>2002421-1||القرآن الكريم (8)</x:v>
      </x:c>
    </x:row>
    <x:row r="120" ht="34" customHeight="1">
      <x:c r="A120" s="124" t="n">
        <x:v>116</x:v>
      </x:c>
      <x:c r="B120" s="62" t="str">
        <x:v>مفقود بلا مصدر</x:v>
      </x:c>
      <x:c r="C120" s="99" t="str">
        <x:v>2003880-2</x:v>
      </x:c>
      <x:c r="D120" s="62" t="str">
        <x:v>الأنظمة العدلية في السعودية</x:v>
      </x:c>
      <x:c r="E120" s="62" t="str">
        <x:v>الفقه</x:v>
      </x:c>
      <x:c r="F120" s="99" t="str">
        <x:v>ماجستير</x:v>
      </x:c>
      <x:c r="G120" s="99" t="str">
        <x:v>حديثة</x:v>
      </x:c>
      <x:c r="H120" s="124" t="n">
        <x:v>1</x:v>
      </x:c>
      <x:c r="I120" s="124" t="n">
        <x:v>3</x:v>
      </x:c>
      <x:c r="J120" s="124" t="str"/>
      <x:c r="K120" s="124" t="n">
        <x:v>2</x:v>
      </x:c>
      <x:c r="L120" s="62" t="str">
        <x:v>نظري</x:v>
      </x:c>
      <x:c r="M120" s="62" t="str">
        <x:v>إجبارية القسم</x:v>
      </x:c>
      <x:c r="N120" s="62" t="str">
        <x:v>الشريعة</x:v>
      </x:c>
      <x:c r="O120" s="62" t="str">
        <x:v>الماجستير في الفقه.pdf</x:v>
      </x:c>
      <x:c r="P120" s="122" t="str">
        <x:v>2003880-2||الأنظمة العدلية في السعودية</x:v>
      </x:c>
    </x:row>
    <x:row r="121" ht="34" customHeight="1">
      <x:c r="A121" s="124" t="n">
        <x:v>117</x:v>
      </x:c>
      <x:c r="B121" s="62" t="str">
        <x:v>مفقود بلا مصدر</x:v>
      </x:c>
      <x:c r="C121" s="99" t="str">
        <x:v>2001221-2</x:v>
      </x:c>
      <x:c r="D121" s="62" t="str">
        <x:v>الفقه (1)</x:v>
      </x:c>
      <x:c r="E121" s="62" t="str">
        <x:v>القراءات</x:v>
      </x:c>
      <x:c r="F121" s="99" t="str">
        <x:v>بكالوريوس</x:v>
      </x:c>
      <x:c r="G121" s="99" t="str">
        <x:v>حديثة</x:v>
      </x:c>
      <x:c r="H121" s="124" t="n">
        <x:v>47</x:v>
      </x:c>
      <x:c r="I121" s="124" t="n">
        <x:v>3</x:v>
      </x:c>
      <x:c r="J121" s="124" t="str"/>
      <x:c r="K121" s="124" t="n">
        <x:v>2</x:v>
      </x:c>
      <x:c r="L121" s="62" t="str">
        <x:v>نظري</x:v>
      </x:c>
      <x:c r="M121" s="62" t="str">
        <x:v>متطلبات الكلية</x:v>
      </x:c>
      <x:c r="N121" s="62" t="str">
        <x:v>قسم القراءات</x:v>
      </x:c>
      <x:c r="O121" s="62" t="str">
        <x:v>القراءات 47.pdf</x:v>
      </x:c>
      <x:c r="P121" s="122" t="str">
        <x:v>2001221-2||الفقه (1)</x:v>
      </x:c>
    </x:row>
    <x:row r="122" ht="34" customHeight="1">
      <x:c r="A122" s="124" t="n">
        <x:v>118</x:v>
      </x:c>
      <x:c r="B122" s="62" t="str">
        <x:v>مفقود بلا مصدر</x:v>
      </x:c>
      <x:c r="C122" s="99" t="str">
        <x:v>2002111-3</x:v>
      </x:c>
      <x:c r="D122" s="62" t="str">
        <x:v>عرض القراءات السبع (١)</x:v>
      </x:c>
      <x:c r="E122" s="62" t="str">
        <x:v>القراءات</x:v>
      </x:c>
      <x:c r="F122" s="99" t="str">
        <x:v>بكالوريوس</x:v>
      </x:c>
      <x:c r="G122" s="99" t="str">
        <x:v>حديثة</x:v>
      </x:c>
      <x:c r="H122" s="124" t="n">
        <x:v>47</x:v>
      </x:c>
      <x:c r="I122" s="124" t="n">
        <x:v>3</x:v>
      </x:c>
      <x:c r="J122" s="124" t="str"/>
      <x:c r="K122" s="124" t="n">
        <x:v>3</x:v>
      </x:c>
      <x:c r="L122" s="62" t="str">
        <x:v>نظري</x:v>
      </x:c>
      <x:c r="M122" s="62" t="str">
        <x:v>متطلبات الكلية</x:v>
      </x:c>
      <x:c r="N122" s="62" t="str">
        <x:v>قسم القراءات</x:v>
      </x:c>
      <x:c r="O122" s="62" t="str">
        <x:v>القراءات 47.pdf</x:v>
      </x:c>
      <x:c r="P122" s="122" t="str">
        <x:v>2002111-3||عرض القراءات السبع (١)</x:v>
      </x:c>
    </x:row>
    <x:row r="123" ht="34" customHeight="1">
      <x:c r="A123" s="124" t="n">
        <x:v>119</x:v>
      </x:c>
      <x:c r="B123" s="62" t="str">
        <x:v>مفقود بلا مصدر</x:v>
      </x:c>
      <x:c r="C123" s="99" t="str">
        <x:v>2002280-2</x:v>
      </x:c>
      <x:c r="D123" s="62" t="str">
        <x:v>تدريبات على الجمع والكيفيات</x:v>
      </x:c>
      <x:c r="E123" s="62" t="str">
        <x:v>القراءات</x:v>
      </x:c>
      <x:c r="F123" s="99" t="str">
        <x:v>بكالوريوس</x:v>
      </x:c>
      <x:c r="G123" s="99" t="str">
        <x:v>حديثة</x:v>
      </x:c>
      <x:c r="H123" s="124" t="n">
        <x:v>47</x:v>
      </x:c>
      <x:c r="I123" s="124" t="n">
        <x:v>3</x:v>
      </x:c>
      <x:c r="J123" s="124" t="str"/>
      <x:c r="K123" s="124" t="n">
        <x:v>2</x:v>
      </x:c>
      <x:c r="L123" s="62" t="str">
        <x:v>نظري</x:v>
      </x:c>
      <x:c r="M123" s="62" t="str">
        <x:v>متطلبات الكلية</x:v>
      </x:c>
      <x:c r="N123" s="62" t="str">
        <x:v>قسم القراءات</x:v>
      </x:c>
      <x:c r="O123" s="62" t="str">
        <x:v>القراءات 47.pdf</x:v>
      </x:c>
      <x:c r="P123" s="122" t="str">
        <x:v>2002280-2||تدريبات على الجمع والكيفيات</x:v>
      </x:c>
    </x:row>
    <x:row r="124" ht="34" customHeight="1">
      <x:c r="A124" s="124" t="n">
        <x:v>120</x:v>
      </x:c>
      <x:c r="B124" s="62" t="str">
        <x:v>مفقود بلا مصدر</x:v>
      </x:c>
      <x:c r="C124" s="99" t="str">
        <x:v>2004102-2</x:v>
      </x:c>
      <x:c r="D124" s="62" t="str">
        <x:v>مصطلح الحديث</x:v>
      </x:c>
      <x:c r="E124" s="62" t="str">
        <x:v>القراءات</x:v>
      </x:c>
      <x:c r="F124" s="99" t="str">
        <x:v>بكالوريوس</x:v>
      </x:c>
      <x:c r="G124" s="99" t="str">
        <x:v>حديثة</x:v>
      </x:c>
      <x:c r="H124" s="124" t="n">
        <x:v>47</x:v>
      </x:c>
      <x:c r="I124" s="124" t="n">
        <x:v>3</x:v>
      </x:c>
      <x:c r="J124" s="124" t="str"/>
      <x:c r="K124" s="124" t="n">
        <x:v>2</x:v>
      </x:c>
      <x:c r="L124" s="62" t="str">
        <x:v>نظري</x:v>
      </x:c>
      <x:c r="M124" s="62" t="str">
        <x:v>متطلبات الكلية</x:v>
      </x:c>
      <x:c r="N124" s="62" t="str">
        <x:v>قسم القراءات</x:v>
      </x:c>
      <x:c r="O124" s="62" t="str">
        <x:v>القراءات 47.pdf</x:v>
      </x:c>
      <x:c r="P124" s="122" t="str">
        <x:v>2004102-2||مصطلح الحديث</x:v>
      </x:c>
    </x:row>
    <x:row r="125" ht="34" customHeight="1">
      <x:c r="A125" s="124" t="n">
        <x:v>121</x:v>
      </x:c>
      <x:c r="B125" s="62" t="str">
        <x:v>مفقود بلا مصدر</x:v>
      </x:c>
      <x:c r="C125" s="99" t="str">
        <x:v>2002112-3</x:v>
      </x:c>
      <x:c r="D125" s="62" t="str">
        <x:v>عرض القراءات السبع (٢)</x:v>
      </x:c>
      <x:c r="E125" s="62" t="str">
        <x:v>القراءات</x:v>
      </x:c>
      <x:c r="F125" s="99" t="str">
        <x:v>بكالوريوس</x:v>
      </x:c>
      <x:c r="G125" s="99" t="str">
        <x:v>حديثة</x:v>
      </x:c>
      <x:c r="H125" s="124" t="n">
        <x:v>47</x:v>
      </x:c>
      <x:c r="I125" s="124" t="n">
        <x:v>4</x:v>
      </x:c>
      <x:c r="J125" s="124" t="str"/>
      <x:c r="K125" s="124" t="n">
        <x:v>3</x:v>
      </x:c>
      <x:c r="L125" s="62" t="str">
        <x:v>نظري</x:v>
      </x:c>
      <x:c r="M125" s="62" t="str">
        <x:v>متطلبات الكلية</x:v>
      </x:c>
      <x:c r="N125" s="62" t="str">
        <x:v>قسم القراءات</x:v>
      </x:c>
      <x:c r="O125" s="62" t="str">
        <x:v>القراءات 47.pdf</x:v>
      </x:c>
      <x:c r="P125" s="122" t="str">
        <x:v>2002112-3||عرض القراءات السبع (٢)</x:v>
      </x:c>
    </x:row>
    <x:row r="126" ht="34" customHeight="1">
      <x:c r="A126" s="124" t="n">
        <x:v>122</x:v>
      </x:c>
      <x:c r="B126" s="62" t="str">
        <x:v>مفقود بلا مصدر</x:v>
      </x:c>
      <x:c r="C126" s="99" t="str">
        <x:v>2002352-2</x:v>
      </x:c>
      <x:c r="D126" s="62" t="str">
        <x:v>التفسير التحليلي (2)</x:v>
      </x:c>
      <x:c r="E126" s="62" t="str">
        <x:v>القراءات</x:v>
      </x:c>
      <x:c r="F126" s="99" t="str">
        <x:v>بكالوريوس</x:v>
      </x:c>
      <x:c r="G126" s="99" t="str">
        <x:v>حديثة</x:v>
      </x:c>
      <x:c r="H126" s="124" t="n">
        <x:v>47</x:v>
      </x:c>
      <x:c r="I126" s="124" t="n">
        <x:v>4</x:v>
      </x:c>
      <x:c r="J126" s="124" t="str"/>
      <x:c r="K126" s="124" t="n">
        <x:v>2</x:v>
      </x:c>
      <x:c r="L126" s="62" t="str">
        <x:v>نظري</x:v>
      </x:c>
      <x:c r="M126" s="62" t="str">
        <x:v>متطلبات الكلية</x:v>
      </x:c>
      <x:c r="N126" s="62" t="str">
        <x:v>قسم القراءات</x:v>
      </x:c>
      <x:c r="O126" s="62" t="str">
        <x:v>القراءات 47.pdf</x:v>
      </x:c>
      <x:c r="P126" s="122" t="str">
        <x:v>2002352-2||التفسير التحليلي (2)</x:v>
      </x:c>
    </x:row>
    <x:row r="127" ht="34" customHeight="1">
      <x:c r="A127" s="124" t="n">
        <x:v>123</x:v>
      </x:c>
      <x:c r="B127" s="62" t="str">
        <x:v>مفقود بلا مصدر</x:v>
      </x:c>
      <x:c r="C127" s="99" t="str">
        <x:v>2004205-2</x:v>
      </x:c>
      <x:c r="D127" s="62" t="str">
        <x:v>الحديث (1)</x:v>
      </x:c>
      <x:c r="E127" s="62" t="str">
        <x:v>القراءات</x:v>
      </x:c>
      <x:c r="F127" s="99" t="str">
        <x:v>بكالوريوس</x:v>
      </x:c>
      <x:c r="G127" s="99" t="str">
        <x:v>حديثة</x:v>
      </x:c>
      <x:c r="H127" s="124" t="n">
        <x:v>47</x:v>
      </x:c>
      <x:c r="I127" s="124" t="n">
        <x:v>4</x:v>
      </x:c>
      <x:c r="J127" s="124" t="str"/>
      <x:c r="K127" s="124" t="n">
        <x:v>2</x:v>
      </x:c>
      <x:c r="L127" s="62" t="str">
        <x:v>نظري</x:v>
      </x:c>
      <x:c r="M127" s="62" t="str">
        <x:v>متطلبات الكلية</x:v>
      </x:c>
      <x:c r="N127" s="62" t="str">
        <x:v>قسم القراءات</x:v>
      </x:c>
      <x:c r="O127" s="62" t="str">
        <x:v>القراءات 47.pdf</x:v>
      </x:c>
      <x:c r="P127" s="122" t="str">
        <x:v>2004205-2||الحديث (1)</x:v>
      </x:c>
    </x:row>
    <x:row r="128" ht="34" customHeight="1">
      <x:c r="A128" s="124" t="n">
        <x:v>124</x:v>
      </x:c>
      <x:c r="B128" s="62" t="str">
        <x:v>مفقود بلا مصدر</x:v>
      </x:c>
      <x:c r="C128" s="99" t="str">
        <x:v>2002113-3</x:v>
      </x:c>
      <x:c r="D128" s="62" t="str">
        <x:v>عرض القراءات السبع (٣)</x:v>
      </x:c>
      <x:c r="E128" s="62" t="str">
        <x:v>القراءات</x:v>
      </x:c>
      <x:c r="F128" s="99" t="str">
        <x:v>بكالوريوس</x:v>
      </x:c>
      <x:c r="G128" s="99" t="str">
        <x:v>حديثة</x:v>
      </x:c>
      <x:c r="H128" s="124" t="n">
        <x:v>47</x:v>
      </x:c>
      <x:c r="I128" s="124" t="n">
        <x:v>5</x:v>
      </x:c>
      <x:c r="J128" s="124" t="str"/>
      <x:c r="K128" s="124" t="n">
        <x:v>3</x:v>
      </x:c>
      <x:c r="L128" s="62" t="str">
        <x:v>نظري</x:v>
      </x:c>
      <x:c r="M128" s="62" t="str">
        <x:v>متطلبات الكلية</x:v>
      </x:c>
      <x:c r="N128" s="62" t="str">
        <x:v>قسم القراءات</x:v>
      </x:c>
      <x:c r="O128" s="62" t="str">
        <x:v>القراءات 47.pdf</x:v>
      </x:c>
      <x:c r="P128" s="122" t="str">
        <x:v>2002113-3||عرض القراءات السبع (٣)</x:v>
      </x:c>
    </x:row>
    <x:row r="129" ht="34" customHeight="1">
      <x:c r="A129" s="124" t="n">
        <x:v>125</x:v>
      </x:c>
      <x:c r="B129" s="62" t="str">
        <x:v>مفقود بلا مصدر</x:v>
      </x:c>
      <x:c r="C129" s="99" t="str">
        <x:v>2002238-2</x:v>
      </x:c>
      <x:c r="D129" s="62" t="str">
        <x:v>الوقف والابتداء</x:v>
      </x:c>
      <x:c r="E129" s="62" t="str">
        <x:v>القراءات</x:v>
      </x:c>
      <x:c r="F129" s="99" t="str">
        <x:v>بكالوريوس</x:v>
      </x:c>
      <x:c r="G129" s="99" t="str">
        <x:v>حديثة</x:v>
      </x:c>
      <x:c r="H129" s="124" t="n">
        <x:v>47</x:v>
      </x:c>
      <x:c r="I129" s="124" t="n">
        <x:v>5</x:v>
      </x:c>
      <x:c r="J129" s="124" t="str"/>
      <x:c r="K129" s="124" t="n">
        <x:v>2</x:v>
      </x:c>
      <x:c r="L129" s="62" t="str">
        <x:v>نظري</x:v>
      </x:c>
      <x:c r="M129" s="62" t="str">
        <x:v>متطلبات الكلية</x:v>
      </x:c>
      <x:c r="N129" s="62" t="str">
        <x:v>قسم القراءات</x:v>
      </x:c>
      <x:c r="O129" s="62" t="str">
        <x:v>القراءات 47.pdf</x:v>
      </x:c>
      <x:c r="P129" s="122" t="str">
        <x:v>2002238-2||الوقف والابتداء</x:v>
      </x:c>
    </x:row>
    <x:row r="130" ht="34" customHeight="1">
      <x:c r="A130" s="124" t="n">
        <x:v>126</x:v>
      </x:c>
      <x:c r="B130" s="62" t="str">
        <x:v>مفقود بلا مصدر</x:v>
      </x:c>
      <x:c r="C130" s="99" t="str">
        <x:v>2002239-2</x:v>
      </x:c>
      <x:c r="D130" s="62" t="str">
        <x:v>مصادر ومناهج المؤلفين في القراءات</x:v>
      </x:c>
      <x:c r="E130" s="62" t="str">
        <x:v>القراءات</x:v>
      </x:c>
      <x:c r="F130" s="99" t="str">
        <x:v>بكالوريوس</x:v>
      </x:c>
      <x:c r="G130" s="99" t="str">
        <x:v>حديثة</x:v>
      </x:c>
      <x:c r="H130" s="124" t="n">
        <x:v>47</x:v>
      </x:c>
      <x:c r="I130" s="124" t="n">
        <x:v>5</x:v>
      </x:c>
      <x:c r="J130" s="124" t="str"/>
      <x:c r="K130" s="124" t="n">
        <x:v>2</x:v>
      </x:c>
      <x:c r="L130" s="62" t="str">
        <x:v>نظري</x:v>
      </x:c>
      <x:c r="M130" s="62" t="str">
        <x:v>متطلبات الكلية</x:v>
      </x:c>
      <x:c r="N130" s="62" t="str">
        <x:v>قسم القراءات</x:v>
      </x:c>
      <x:c r="O130" s="62" t="str">
        <x:v>القراءات 47.pdf</x:v>
      </x:c>
      <x:c r="P130" s="122" t="str">
        <x:v>2002239-2||مصادر ومناهج المؤلفين في القراءات</x:v>
      </x:c>
    </x:row>
    <x:row r="131" ht="34" customHeight="1">
      <x:c r="A131" s="124" t="n">
        <x:v>127</x:v>
      </x:c>
      <x:c r="B131" s="62" t="str">
        <x:v>مفقود بلا مصدر</x:v>
      </x:c>
      <x:c r="C131" s="99" t="str">
        <x:v>2004209-2</x:v>
      </x:c>
      <x:c r="D131" s="62" t="str">
        <x:v>الحديث (2)</x:v>
      </x:c>
      <x:c r="E131" s="62" t="str">
        <x:v>القراءات</x:v>
      </x:c>
      <x:c r="F131" s="99" t="str">
        <x:v>بكالوريوس</x:v>
      </x:c>
      <x:c r="G131" s="99" t="str">
        <x:v>حديثة</x:v>
      </x:c>
      <x:c r="H131" s="124" t="n">
        <x:v>47</x:v>
      </x:c>
      <x:c r="I131" s="124" t="n">
        <x:v>5</x:v>
      </x:c>
      <x:c r="J131" s="124" t="str"/>
      <x:c r="K131" s="124" t="n">
        <x:v>2</x:v>
      </x:c>
      <x:c r="L131" s="62" t="str">
        <x:v>نظري</x:v>
      </x:c>
      <x:c r="M131" s="62" t="str">
        <x:v>متطلبات الكلية</x:v>
      </x:c>
      <x:c r="N131" s="62" t="str">
        <x:v>قسم القراءات</x:v>
      </x:c>
      <x:c r="O131" s="62" t="str">
        <x:v>القراءات 47.pdf</x:v>
      </x:c>
      <x:c r="P131" s="122" t="str">
        <x:v>2004209-2||الحديث (2)</x:v>
      </x:c>
    </x:row>
    <x:row r="132" ht="34" customHeight="1">
      <x:c r="A132" s="124" t="n">
        <x:v>128</x:v>
      </x:c>
      <x:c r="B132" s="62" t="str">
        <x:v>مفقود بلا مصدر</x:v>
      </x:c>
      <x:c r="C132" s="99" t="str">
        <x:v>2002114-3</x:v>
      </x:c>
      <x:c r="D132" s="62" t="str">
        <x:v>عرض القراءات السبع (٤)</x:v>
      </x:c>
      <x:c r="E132" s="62" t="str">
        <x:v>القراءات</x:v>
      </x:c>
      <x:c r="F132" s="99" t="str">
        <x:v>بكالوريوس</x:v>
      </x:c>
      <x:c r="G132" s="99" t="str">
        <x:v>حديثة</x:v>
      </x:c>
      <x:c r="H132" s="124" t="n">
        <x:v>47</x:v>
      </x:c>
      <x:c r="I132" s="124" t="n">
        <x:v>6</x:v>
      </x:c>
      <x:c r="J132" s="124" t="str"/>
      <x:c r="K132" s="124" t="n">
        <x:v>3</x:v>
      </x:c>
      <x:c r="L132" s="62" t="str">
        <x:v>نظري</x:v>
      </x:c>
      <x:c r="M132" s="62" t="str">
        <x:v>متطلبات الكلية</x:v>
      </x:c>
      <x:c r="N132" s="62" t="str">
        <x:v>قسم القراءات</x:v>
      </x:c>
      <x:c r="O132" s="62" t="str">
        <x:v>القراءات 47.pdf</x:v>
      </x:c>
      <x:c r="P132" s="122" t="str">
        <x:v>2002114-3||عرض القراءات السبع (٤)</x:v>
      </x:c>
    </x:row>
    <x:row r="133" ht="34" customHeight="1">
      <x:c r="A133" s="124" t="n">
        <x:v>129</x:v>
      </x:c>
      <x:c r="B133" s="62" t="str">
        <x:v>مفقود بلا مصدر</x:v>
      </x:c>
      <x:c r="C133" s="99" t="str">
        <x:v>2004320-2</x:v>
      </x:c>
      <x:c r="D133" s="62" t="str">
        <x:v>الحديث (3)</x:v>
      </x:c>
      <x:c r="E133" s="62" t="str">
        <x:v>القراءات</x:v>
      </x:c>
      <x:c r="F133" s="99" t="str">
        <x:v>بكالوريوس</x:v>
      </x:c>
      <x:c r="G133" s="99" t="str">
        <x:v>حديثة</x:v>
      </x:c>
      <x:c r="H133" s="124" t="n">
        <x:v>47</x:v>
      </x:c>
      <x:c r="I133" s="124" t="n">
        <x:v>6</x:v>
      </x:c>
      <x:c r="J133" s="124" t="str"/>
      <x:c r="K133" s="124" t="n">
        <x:v>2</x:v>
      </x:c>
      <x:c r="L133" s="62" t="str">
        <x:v>نظري</x:v>
      </x:c>
      <x:c r="M133" s="62" t="str">
        <x:v>متطلبات الكلية</x:v>
      </x:c>
      <x:c r="N133" s="62" t="str">
        <x:v>قسم القراءات</x:v>
      </x:c>
      <x:c r="O133" s="62" t="str">
        <x:v>القراءات 47.pdf</x:v>
      </x:c>
      <x:c r="P133" s="122" t="str">
        <x:v>2004320-2||الحديث (3)</x:v>
      </x:c>
    </x:row>
    <x:row r="134" ht="34" customHeight="1">
      <x:c r="A134" s="124" t="n">
        <x:v>130</x:v>
      </x:c>
      <x:c r="B134" s="62" t="str">
        <x:v>مفقود بلا مصدر</x:v>
      </x:c>
      <x:c r="C134" s="99" t="str">
        <x:v>2002460-2</x:v>
      </x:c>
      <x:c r="D134" s="62" t="str">
        <x:v>عرض القراءات الثلاث (١)</x:v>
      </x:c>
      <x:c r="E134" s="62" t="str">
        <x:v>القراءات</x:v>
      </x:c>
      <x:c r="F134" s="99" t="str">
        <x:v>بكالوريوس</x:v>
      </x:c>
      <x:c r="G134" s="99" t="str">
        <x:v>حديثة</x:v>
      </x:c>
      <x:c r="H134" s="124" t="n">
        <x:v>47</x:v>
      </x:c>
      <x:c r="I134" s="124" t="n">
        <x:v>7</x:v>
      </x:c>
      <x:c r="J134" s="124" t="str"/>
      <x:c r="K134" s="124" t="n">
        <x:v>2</x:v>
      </x:c>
      <x:c r="L134" s="62" t="str">
        <x:v>نظري</x:v>
      </x:c>
      <x:c r="M134" s="62" t="str">
        <x:v>متطلبات الكلية</x:v>
      </x:c>
      <x:c r="N134" s="62" t="str">
        <x:v>قسم القراءات</x:v>
      </x:c>
      <x:c r="O134" s="62" t="str">
        <x:v>القراءات 47.pdf</x:v>
      </x:c>
      <x:c r="P134" s="122" t="str">
        <x:v>2002460-2||عرض القراءات الثلاث (١)</x:v>
      </x:c>
    </x:row>
    <x:row r="135" ht="34" customHeight="1">
      <x:c r="A135" s="124" t="n">
        <x:v>131</x:v>
      </x:c>
      <x:c r="B135" s="62" t="str">
        <x:v>مفقود بلا مصدر</x:v>
      </x:c>
      <x:c r="C135" s="99" t="str">
        <x:v>2004403-2</x:v>
      </x:c>
      <x:c r="D135" s="62" t="str">
        <x:v>الأديان والفرق والمذاهب المعاصرة</x:v>
      </x:c>
      <x:c r="E135" s="62" t="str">
        <x:v>القراءات</x:v>
      </x:c>
      <x:c r="F135" s="99" t="str">
        <x:v>بكالوريوس</x:v>
      </x:c>
      <x:c r="G135" s="99" t="str">
        <x:v>حديثة</x:v>
      </x:c>
      <x:c r="H135" s="124" t="n">
        <x:v>47</x:v>
      </x:c>
      <x:c r="I135" s="124" t="n">
        <x:v>7</x:v>
      </x:c>
      <x:c r="J135" s="124" t="str"/>
      <x:c r="K135" s="124" t="n">
        <x:v>2</x:v>
      </x:c>
      <x:c r="L135" s="62" t="str">
        <x:v>نظري</x:v>
      </x:c>
      <x:c r="M135" s="62" t="str">
        <x:v>متطلبات الكلية</x:v>
      </x:c>
      <x:c r="N135" s="62" t="str">
        <x:v>قسم القراءات</x:v>
      </x:c>
      <x:c r="O135" s="62" t="str">
        <x:v>القراءات 47.pdf</x:v>
      </x:c>
      <x:c r="P135" s="122" t="str">
        <x:v>2004403-2||الأديان والفرق والمذاهب المعاصرة</x:v>
      </x:c>
    </x:row>
    <x:row r="136" ht="34" customHeight="1">
      <x:c r="A136" s="124" t="n">
        <x:v>132</x:v>
      </x:c>
      <x:c r="B136" s="62" t="str">
        <x:v>مفقود بلا مصدر</x:v>
      </x:c>
      <x:c r="C136" s="99" t="str">
        <x:v>2002266-6</x:v>
      </x:c>
      <x:c r="D136" s="62" t="str">
        <x:v>التدريب التعاوني</x:v>
      </x:c>
      <x:c r="E136" s="62" t="str">
        <x:v>القراءات</x:v>
      </x:c>
      <x:c r="F136" s="99" t="str">
        <x:v>بكالوريوس</x:v>
      </x:c>
      <x:c r="G136" s="99" t="str">
        <x:v>حديثة</x:v>
      </x:c>
      <x:c r="H136" s="124" t="n">
        <x:v>47</x:v>
      </x:c>
      <x:c r="I136" s="124" t="n">
        <x:v>8</x:v>
      </x:c>
      <x:c r="J136" s="124" t="str"/>
      <x:c r="K136" s="124" t="n">
        <x:v>6</x:v>
      </x:c>
      <x:c r="L136" s="62" t="str">
        <x:v>تدريب</x:v>
      </x:c>
      <x:c r="M136" s="62" t="str">
        <x:v>متطلبات الكلية</x:v>
      </x:c>
      <x:c r="N136" s="62" t="str">
        <x:v>قسم القراءات</x:v>
      </x:c>
      <x:c r="O136" s="62" t="str">
        <x:v>القراءات 47.pdf</x:v>
      </x:c>
      <x:c r="P136" s="122" t="str">
        <x:v>2002266-6||التدريب التعاوني</x:v>
      </x:c>
    </x:row>
    <x:row r="137" ht="34" customHeight="1">
      <x:c r="A137" s="124" t="n">
        <x:v>133</x:v>
      </x:c>
      <x:c r="B137" s="62" t="str">
        <x:v>مفقود بلا مصدر</x:v>
      </x:c>
      <x:c r="C137" s="99" t="str">
        <x:v>2002461-2</x:v>
      </x:c>
      <x:c r="D137" s="62" t="str">
        <x:v>عرض القراءات الثلاث (٢)</x:v>
      </x:c>
      <x:c r="E137" s="62" t="str">
        <x:v>القراءات</x:v>
      </x:c>
      <x:c r="F137" s="99" t="str">
        <x:v>بكالوريوس</x:v>
      </x:c>
      <x:c r="G137" s="99" t="str">
        <x:v>حديثة</x:v>
      </x:c>
      <x:c r="H137" s="124" t="n">
        <x:v>47</x:v>
      </x:c>
      <x:c r="I137" s="124" t="n">
        <x:v>8</x:v>
      </x:c>
      <x:c r="J137" s="124" t="str"/>
      <x:c r="K137" s="124" t="n">
        <x:v>2</x:v>
      </x:c>
      <x:c r="L137" s="62" t="str">
        <x:v>نظري</x:v>
      </x:c>
      <x:c r="M137" s="62" t="str">
        <x:v>متطلبات الكلية</x:v>
      </x:c>
      <x:c r="N137" s="62" t="str">
        <x:v>قسم القراءات</x:v>
      </x:c>
      <x:c r="O137" s="62" t="str">
        <x:v>القراءات 47.pdf</x:v>
      </x:c>
      <x:c r="P137" s="122" t="str">
        <x:v>2002461-2||عرض القراءات الثلاث (٢)</x:v>
      </x:c>
    </x:row>
    <x:row r="138" ht="34" customHeight="1">
      <x:c r="A138" s="124" t="n">
        <x:v>134</x:v>
      </x:c>
      <x:c r="B138" s="62" t="str">
        <x:v>مفقود بلا مصدر</x:v>
      </x:c>
      <x:c r="C138" s="99" t="str">
        <x:v>2001205-2</x:v>
      </x:c>
      <x:c r="D138" s="62" t="str">
        <x:v>الحديث (1)</x:v>
      </x:c>
      <x:c r="E138" s="62" t="str">
        <x:v>القراءات</x:v>
      </x:c>
      <x:c r="F138" s="99" t="str">
        <x:v>بكالوريوس</x:v>
      </x:c>
      <x:c r="G138" s="99" t="str">
        <x:v>قديمة</x:v>
      </x:c>
      <x:c r="H138" s="124" t="n">
        <x:v>38</x:v>
      </x:c>
      <x:c r="I138" s="124" t="n">
        <x:v>3</x:v>
      </x:c>
      <x:c r="J138" s="124" t="str"/>
      <x:c r="K138" s="124" t="n">
        <x:v>2</x:v>
      </x:c>
      <x:c r="L138" s="62" t="str">
        <x:v>نظري</x:v>
      </x:c>
      <x:c r="M138" s="62" t="str">
        <x:v>إجبارية القسم</x:v>
      </x:c>
      <x:c r="N138" s="62" t="str">
        <x:v>قسم القراءات</x:v>
      </x:c>
      <x:c r="O138" s="62" t="str">
        <x:v>القراءات 38.pdf</x:v>
      </x:c>
      <x:c r="P138" s="122" t="str">
        <x:v>2001205-2||الحديث (1)</x:v>
      </x:c>
    </x:row>
    <x:row r="139" ht="34" customHeight="1">
      <x:c r="A139" s="124" t="n">
        <x:v>135</x:v>
      </x:c>
      <x:c r="B139" s="62" t="str">
        <x:v>مفقود بلا مصدر</x:v>
      </x:c>
      <x:c r="C139" s="99" t="str">
        <x:v>2001221-2</x:v>
      </x:c>
      <x:c r="D139" s="62" t="str">
        <x:v>الفقه (1)</x:v>
      </x:c>
      <x:c r="E139" s="62" t="str">
        <x:v>القراءات</x:v>
      </x:c>
      <x:c r="F139" s="99" t="str">
        <x:v>بكالوريوس</x:v>
      </x:c>
      <x:c r="G139" s="99" t="str">
        <x:v>قديمة</x:v>
      </x:c>
      <x:c r="H139" s="124" t="n">
        <x:v>38</x:v>
      </x:c>
      <x:c r="I139" s="124" t="n">
        <x:v>3</x:v>
      </x:c>
      <x:c r="J139" s="124" t="str"/>
      <x:c r="K139" s="124" t="n">
        <x:v>2</x:v>
      </x:c>
      <x:c r="L139" s="62" t="str">
        <x:v>نظري</x:v>
      </x:c>
      <x:c r="M139" s="62" t="str">
        <x:v>إجبارية القسم</x:v>
      </x:c>
      <x:c r="N139" s="62" t="str">
        <x:v>قسم القراءات</x:v>
      </x:c>
      <x:c r="O139" s="62" t="str">
        <x:v>القراءات 38.pdf</x:v>
      </x:c>
      <x:c r="P139" s="122" t="str">
        <x:v>2001221-2||الفقه (1)</x:v>
      </x:c>
    </x:row>
    <x:row r="140" ht="34" customHeight="1">
      <x:c r="A140" s="124" t="n">
        <x:v>136</x:v>
      </x:c>
      <x:c r="B140" s="62" t="str">
        <x:v>مفقود بلا مصدر</x:v>
      </x:c>
      <x:c r="C140" s="99" t="str">
        <x:v>2001273-2</x:v>
      </x:c>
      <x:c r="D140" s="62" t="str">
        <x:v>العقيدة (1)</x:v>
      </x:c>
      <x:c r="E140" s="62" t="str">
        <x:v>القراءات</x:v>
      </x:c>
      <x:c r="F140" s="99" t="str">
        <x:v>بكالوريوس</x:v>
      </x:c>
      <x:c r="G140" s="99" t="str">
        <x:v>قديمة</x:v>
      </x:c>
      <x:c r="H140" s="124" t="n">
        <x:v>38</x:v>
      </x:c>
      <x:c r="I140" s="124" t="n">
        <x:v>3</x:v>
      </x:c>
      <x:c r="J140" s="124" t="str"/>
      <x:c r="K140" s="124" t="n">
        <x:v>2</x:v>
      </x:c>
      <x:c r="L140" s="62" t="str">
        <x:v>نظري</x:v>
      </x:c>
      <x:c r="M140" s="62" t="str">
        <x:v>إجبارية القسم</x:v>
      </x:c>
      <x:c r="N140" s="62" t="str">
        <x:v>قسم القراءات</x:v>
      </x:c>
      <x:c r="O140" s="62" t="str">
        <x:v>القراءات 38.pdf</x:v>
      </x:c>
      <x:c r="P140" s="122" t="str">
        <x:v>2001273-2||العقيدة (1)</x:v>
      </x:c>
    </x:row>
    <x:row r="141" ht="34" customHeight="1">
      <x:c r="A141" s="124" t="n">
        <x:v>137</x:v>
      </x:c>
      <x:c r="B141" s="62" t="str">
        <x:v>مفقود بلا مصدر</x:v>
      </x:c>
      <x:c r="C141" s="99" t="str">
        <x:v>2001209-2</x:v>
      </x:c>
      <x:c r="D141" s="62" t="str">
        <x:v>الحديث (2)</x:v>
      </x:c>
      <x:c r="E141" s="62" t="str">
        <x:v>القراءات</x:v>
      </x:c>
      <x:c r="F141" s="99" t="str">
        <x:v>بكالوريوس</x:v>
      </x:c>
      <x:c r="G141" s="99" t="str">
        <x:v>قديمة</x:v>
      </x:c>
      <x:c r="H141" s="124" t="n">
        <x:v>38</x:v>
      </x:c>
      <x:c r="I141" s="124" t="n">
        <x:v>4</x:v>
      </x:c>
      <x:c r="J141" s="124" t="str"/>
      <x:c r="K141" s="124" t="n">
        <x:v>2</x:v>
      </x:c>
      <x:c r="L141" s="62" t="str">
        <x:v>نظري</x:v>
      </x:c>
      <x:c r="M141" s="62" t="str">
        <x:v>إجبارية القسم</x:v>
      </x:c>
      <x:c r="N141" s="62" t="str">
        <x:v>قسم القراءات</x:v>
      </x:c>
      <x:c r="O141" s="62" t="str">
        <x:v>القراءات 38.pdf</x:v>
      </x:c>
      <x:c r="P141" s="122" t="str">
        <x:v>2001209-2||الحديث (2)</x:v>
      </x:c>
    </x:row>
    <x:row r="142" ht="34" customHeight="1">
      <x:c r="A142" s="124" t="n">
        <x:v>138</x:v>
      </x:c>
      <x:c r="B142" s="62" t="str">
        <x:v>مفقود بلا مصدر</x:v>
      </x:c>
      <x:c r="C142" s="99" t="str">
        <x:v>2001322-2</x:v>
      </x:c>
      <x:c r="D142" s="62" t="str">
        <x:v>الفقه (2)</x:v>
      </x:c>
      <x:c r="E142" s="62" t="str">
        <x:v>القراءات</x:v>
      </x:c>
      <x:c r="F142" s="99" t="str">
        <x:v>بكالوريوس</x:v>
      </x:c>
      <x:c r="G142" s="99" t="str">
        <x:v>قديمة</x:v>
      </x:c>
      <x:c r="H142" s="124" t="n">
        <x:v>38</x:v>
      </x:c>
      <x:c r="I142" s="124" t="n">
        <x:v>4</x:v>
      </x:c>
      <x:c r="J142" s="124" t="str"/>
      <x:c r="K142" s="124" t="n">
        <x:v>2</x:v>
      </x:c>
      <x:c r="L142" s="62" t="str">
        <x:v>نظري</x:v>
      </x:c>
      <x:c r="M142" s="62" t="str">
        <x:v>إجبارية القسم</x:v>
      </x:c>
      <x:c r="N142" s="62" t="str">
        <x:v>قسم القراءات</x:v>
      </x:c>
      <x:c r="O142" s="62" t="str">
        <x:v>القراءات 38.pdf</x:v>
      </x:c>
      <x:c r="P142" s="122" t="str">
        <x:v>2001322-2||الفقه (2)</x:v>
      </x:c>
    </x:row>
    <x:row r="143" ht="34" customHeight="1">
      <x:c r="A143" s="124" t="n">
        <x:v>139</x:v>
      </x:c>
      <x:c r="B143" s="62" t="str">
        <x:v>مفقود بلا مصدر</x:v>
      </x:c>
      <x:c r="C143" s="99" t="str">
        <x:v>2001320-2</x:v>
      </x:c>
      <x:c r="D143" s="62" t="str">
        <x:v>الحديث (3)</x:v>
      </x:c>
      <x:c r="E143" s="62" t="str">
        <x:v>القراءات</x:v>
      </x:c>
      <x:c r="F143" s="99" t="str">
        <x:v>بكالوريوس</x:v>
      </x:c>
      <x:c r="G143" s="99" t="str">
        <x:v>قديمة</x:v>
      </x:c>
      <x:c r="H143" s="124" t="n">
        <x:v>38</x:v>
      </x:c>
      <x:c r="I143" s="124" t="n">
        <x:v>6</x:v>
      </x:c>
      <x:c r="J143" s="124" t="str"/>
      <x:c r="K143" s="124" t="n">
        <x:v>2</x:v>
      </x:c>
      <x:c r="L143" s="62" t="str">
        <x:v>نظري</x:v>
      </x:c>
      <x:c r="M143" s="62" t="str">
        <x:v>إجبارية القسم</x:v>
      </x:c>
      <x:c r="N143" s="62" t="str">
        <x:v>قسم القراءات</x:v>
      </x:c>
      <x:c r="O143" s="62" t="str">
        <x:v>القراءات 38.pdf</x:v>
      </x:c>
      <x:c r="P143" s="122" t="str">
        <x:v>2001320-2||الحديث (3)</x:v>
      </x:c>
    </x:row>
    <x:row r="144" ht="34" customHeight="1">
      <x:c r="A144" s="124" t="n">
        <x:v>140</x:v>
      </x:c>
      <x:c r="B144" s="62" t="str">
        <x:v>مفقود بلا مصدر</x:v>
      </x:c>
      <x:c r="C144" s="99" t="str">
        <x:v>2002703-2</x:v>
      </x:c>
      <x:c r="D144" s="62" t="str">
        <x:v>دراسات في طبقات القراء وأسانيدهم</x:v>
      </x:c>
      <x:c r="E144" s="62" t="str">
        <x:v>القراءات</x:v>
      </x:c>
      <x:c r="F144" s="99" t="str">
        <x:v>دكتوراه</x:v>
      </x:c>
      <x:c r="G144" s="99" t="str">
        <x:v>حديثة</x:v>
      </x:c>
      <x:c r="H144" s="124" t="n">
        <x:v>1</x:v>
      </x:c>
      <x:c r="I144" s="124" t="n">
        <x:v>1</x:v>
      </x:c>
      <x:c r="J144" s="124" t="str"/>
      <x:c r="K144" s="124" t="n">
        <x:v>2</x:v>
      </x:c>
      <x:c r="L144" s="62" t="str">
        <x:v>نظري</x:v>
      </x:c>
      <x:c r="M144" s="62" t="str">
        <x:v>إجبارية القسم</x:v>
      </x:c>
      <x:c r="N144" s="62" t="str">
        <x:v>قسم القراءات</x:v>
      </x:c>
      <x:c r="O144" s="62" t="str">
        <x:v>خطة دكتوراه القراءات.pdf</x:v>
      </x:c>
      <x:c r="P144" s="122" t="str">
        <x:v>2002703-2||دراسات في طبقات القراء وأسانيدهم</x:v>
      </x:c>
    </x:row>
    <x:row r="145" ht="34" customHeight="1">
      <x:c r="A145" s="124" t="n">
        <x:v>141</x:v>
      </x:c>
      <x:c r="B145" s="62" t="str">
        <x:v>مفقود بلا مصدر</x:v>
      </x:c>
      <x:c r="C145" s="99" t="str">
        <x:v>2004102-2</x:v>
      </x:c>
      <x:c r="D145" s="62" t="str">
        <x:v>مصطلح الحديث</x:v>
      </x:c>
      <x:c r="E145" s="62" t="str">
        <x:v>القرآن وعلومه</x:v>
      </x:c>
      <x:c r="F145" s="99" t="str">
        <x:v>بكالوريوس</x:v>
      </x:c>
      <x:c r="G145" s="99" t="str">
        <x:v>حديثة</x:v>
      </x:c>
      <x:c r="H145" s="124" t="n">
        <x:v>47</x:v>
      </x:c>
      <x:c r="I145" s="124" t="n">
        <x:v>2</x:v>
      </x:c>
      <x:c r="J145" s="124" t="str"/>
      <x:c r="K145" s="124" t="n">
        <x:v>2</x:v>
      </x:c>
      <x:c r="L145" s="62" t="str">
        <x:v>نظري</x:v>
      </x:c>
      <x:c r="M145" s="62" t="str">
        <x:v>متطلبات الكلية</x:v>
      </x:c>
      <x:c r="N145" s="62" t="str">
        <x:v>قسم القراءات</x:v>
      </x:c>
      <x:c r="O145" s="62" t="str">
        <x:v>القرآن وعلومه 47.pdf</x:v>
      </x:c>
      <x:c r="P145" s="122" t="str">
        <x:v>2004102-2||مصطلح الحديث</x:v>
      </x:c>
    </x:row>
    <x:row r="146" ht="34" customHeight="1">
      <x:c r="A146" s="124" t="n">
        <x:v>142</x:v>
      </x:c>
      <x:c r="B146" s="62" t="str">
        <x:v>مفقود بلا مصدر</x:v>
      </x:c>
      <x:c r="C146" s="99" t="str">
        <x:v>2001221-2</x:v>
      </x:c>
      <x:c r="D146" s="62" t="str">
        <x:v>الفقه (1)</x:v>
      </x:c>
      <x:c r="E146" s="62" t="str">
        <x:v>القرآن وعلومه</x:v>
      </x:c>
      <x:c r="F146" s="99" t="str">
        <x:v>بكالوريوس</x:v>
      </x:c>
      <x:c r="G146" s="99" t="str">
        <x:v>حديثة</x:v>
      </x:c>
      <x:c r="H146" s="124" t="n">
        <x:v>47</x:v>
      </x:c>
      <x:c r="I146" s="124" t="n">
        <x:v>3</x:v>
      </x:c>
      <x:c r="J146" s="124" t="str"/>
      <x:c r="K146" s="124" t="n">
        <x:v>2</x:v>
      </x:c>
      <x:c r="L146" s="62" t="str">
        <x:v>نظري</x:v>
      </x:c>
      <x:c r="M146" s="62" t="str">
        <x:v>إجبارية القسم</x:v>
      </x:c>
      <x:c r="N146" s="62" t="str">
        <x:v>قسم القراءات</x:v>
      </x:c>
      <x:c r="O146" s="62" t="str">
        <x:v>القرآن وعلومه 47.pdf</x:v>
      </x:c>
      <x:c r="P146" s="122" t="str">
        <x:v>2001221-2||الفقه (1)</x:v>
      </x:c>
    </x:row>
    <x:row r="147" ht="34" customHeight="1">
      <x:c r="A147" s="124" t="n">
        <x:v>143</x:v>
      </x:c>
      <x:c r="B147" s="62" t="str">
        <x:v>مفقود بلا مصدر</x:v>
      </x:c>
      <x:c r="C147" s="99" t="str">
        <x:v>2003220-2</x:v>
      </x:c>
      <x:c r="D147" s="62" t="str">
        <x:v>المدخل لدراسة الأنظمة</x:v>
      </x:c>
      <x:c r="E147" s="62" t="str">
        <x:v>القرآن وعلومه</x:v>
      </x:c>
      <x:c r="F147" s="99" t="str">
        <x:v>بكالوريوس</x:v>
      </x:c>
      <x:c r="G147" s="99" t="str">
        <x:v>حديثة</x:v>
      </x:c>
      <x:c r="H147" s="124" t="n">
        <x:v>47</x:v>
      </x:c>
      <x:c r="I147" s="124" t="n">
        <x:v>3</x:v>
      </x:c>
      <x:c r="J147" s="124" t="str"/>
      <x:c r="K147" s="124" t="n">
        <x:v>2</x:v>
      </x:c>
      <x:c r="L147" s="62" t="str">
        <x:v>نظري</x:v>
      </x:c>
      <x:c r="M147" s="62" t="str">
        <x:v>إجبارية القسم</x:v>
      </x:c>
      <x:c r="N147" s="62" t="str">
        <x:v>قسم القراءات</x:v>
      </x:c>
      <x:c r="O147" s="62" t="str">
        <x:v>القرآن وعلومه 47.pdf</x:v>
      </x:c>
      <x:c r="P147" s="122" t="str">
        <x:v>2003220-2||المدخل لدراسة الأنظمة</x:v>
      </x:c>
    </x:row>
    <x:row r="148" ht="34" customHeight="1">
      <x:c r="A148" s="124" t="n">
        <x:v>144</x:v>
      </x:c>
      <x:c r="B148" s="62" t="str">
        <x:v>مفقود بلا مصدر</x:v>
      </x:c>
      <x:c r="C148" s="99" t="str">
        <x:v>2004205-2</x:v>
      </x:c>
      <x:c r="D148" s="62" t="str">
        <x:v>الحديث (1)</x:v>
      </x:c>
      <x:c r="E148" s="62" t="str">
        <x:v>القرآن وعلومه</x:v>
      </x:c>
      <x:c r="F148" s="99" t="str">
        <x:v>بكالوريوس</x:v>
      </x:c>
      <x:c r="G148" s="99" t="str">
        <x:v>حديثة</x:v>
      </x:c>
      <x:c r="H148" s="124" t="n">
        <x:v>47</x:v>
      </x:c>
      <x:c r="I148" s="124" t="n">
        <x:v>3</x:v>
      </x:c>
      <x:c r="J148" s="124" t="str"/>
      <x:c r="K148" s="124" t="n">
        <x:v>2</x:v>
      </x:c>
      <x:c r="L148" s="62" t="str">
        <x:v>نظري</x:v>
      </x:c>
      <x:c r="M148" s="62" t="str">
        <x:v>متطلبات الكلية</x:v>
      </x:c>
      <x:c r="N148" s="62" t="str">
        <x:v>قسم القراءات</x:v>
      </x:c>
      <x:c r="O148" s="62" t="str">
        <x:v>القرآن وعلومه 47.pdf</x:v>
      </x:c>
      <x:c r="P148" s="122" t="str">
        <x:v>2004205-2||الحديث (1)</x:v>
      </x:c>
    </x:row>
    <x:row r="149" ht="34" customHeight="1">
      <x:c r="A149" s="124" t="n">
        <x:v>145</x:v>
      </x:c>
      <x:c r="B149" s="62" t="str">
        <x:v>مفقود بلا مصدر</x:v>
      </x:c>
      <x:c r="C149" s="99" t="str">
        <x:v>2001322-2</x:v>
      </x:c>
      <x:c r="D149" s="62" t="str">
        <x:v>الفقه (2)</x:v>
      </x:c>
      <x:c r="E149" s="62" t="str">
        <x:v>القرآن وعلومه</x:v>
      </x:c>
      <x:c r="F149" s="99" t="str">
        <x:v>بكالوريوس</x:v>
      </x:c>
      <x:c r="G149" s="99" t="str">
        <x:v>حديثة</x:v>
      </x:c>
      <x:c r="H149" s="124" t="n">
        <x:v>47</x:v>
      </x:c>
      <x:c r="I149" s="124" t="n">
        <x:v>4</x:v>
      </x:c>
      <x:c r="J149" s="124" t="str"/>
      <x:c r="K149" s="124" t="n">
        <x:v>2</x:v>
      </x:c>
      <x:c r="L149" s="62" t="str">
        <x:v>نظري</x:v>
      </x:c>
      <x:c r="M149" s="62" t="str">
        <x:v>إجبارية القسم</x:v>
      </x:c>
      <x:c r="N149" s="62" t="str">
        <x:v>قسم القراءات</x:v>
      </x:c>
      <x:c r="O149" s="62" t="str">
        <x:v>القرآن وعلومه 47.pdf</x:v>
      </x:c>
      <x:c r="P149" s="122" t="str">
        <x:v>2001322-2||الفقه (2)</x:v>
      </x:c>
    </x:row>
    <x:row r="150" ht="34" customHeight="1">
      <x:c r="A150" s="124" t="n">
        <x:v>146</x:v>
      </x:c>
      <x:c r="B150" s="62" t="str">
        <x:v>مفقود بلا مصدر</x:v>
      </x:c>
      <x:c r="C150" s="99" t="str">
        <x:v>2004209-2</x:v>
      </x:c>
      <x:c r="D150" s="62" t="str">
        <x:v>الحديث (2)</x:v>
      </x:c>
      <x:c r="E150" s="62" t="str">
        <x:v>القرآن وعلومه</x:v>
      </x:c>
      <x:c r="F150" s="99" t="str">
        <x:v>بكالوريوس</x:v>
      </x:c>
      <x:c r="G150" s="99" t="str">
        <x:v>حديثة</x:v>
      </x:c>
      <x:c r="H150" s="124" t="n">
        <x:v>47</x:v>
      </x:c>
      <x:c r="I150" s="124" t="n">
        <x:v>4</x:v>
      </x:c>
      <x:c r="J150" s="124" t="str"/>
      <x:c r="K150" s="124" t="n">
        <x:v>2</x:v>
      </x:c>
      <x:c r="L150" s="62" t="str">
        <x:v>نظري</x:v>
      </x:c>
      <x:c r="M150" s="62" t="str">
        <x:v>متطلبات الكلية</x:v>
      </x:c>
      <x:c r="N150" s="62" t="str">
        <x:v>قسم القراءات</x:v>
      </x:c>
      <x:c r="O150" s="62" t="str">
        <x:v>القرآن وعلومه 47.pdf</x:v>
      </x:c>
      <x:c r="P150" s="122" t="str">
        <x:v>2004209-2||الحديث (2)</x:v>
      </x:c>
    </x:row>
    <x:row r="151" ht="34" customHeight="1">
      <x:c r="A151" s="124" t="n">
        <x:v>147</x:v>
      </x:c>
      <x:c r="B151" s="62" t="str">
        <x:v>مفقود بلا مصدر</x:v>
      </x:c>
      <x:c r="C151" s="99" t="str">
        <x:v>2001113-2</x:v>
      </x:c>
      <x:c r="D151" s="62" t="str">
        <x:v>أصول الفقه (1)</x:v>
      </x:c>
      <x:c r="E151" s="62" t="str">
        <x:v>القرآن وعلومه</x:v>
      </x:c>
      <x:c r="F151" s="99" t="str">
        <x:v>بكالوريوس</x:v>
      </x:c>
      <x:c r="G151" s="99" t="str">
        <x:v>حديثة</x:v>
      </x:c>
      <x:c r="H151" s="124" t="n">
        <x:v>47</x:v>
      </x:c>
      <x:c r="I151" s="124" t="n">
        <x:v>5</x:v>
      </x:c>
      <x:c r="J151" s="124" t="str"/>
      <x:c r="K151" s="124" t="n">
        <x:v>2</x:v>
      </x:c>
      <x:c r="L151" s="62" t="str">
        <x:v>نظري</x:v>
      </x:c>
      <x:c r="M151" s="62" t="str">
        <x:v>إجبارية القسم</x:v>
      </x:c>
      <x:c r="N151" s="62" t="str">
        <x:v>قسم القراءات</x:v>
      </x:c>
      <x:c r="O151" s="62" t="str">
        <x:v>القرآن وعلومه 47.pdf</x:v>
      </x:c>
      <x:c r="P151" s="122" t="str">
        <x:v>2001113-2||أصول الفقه (1)</x:v>
      </x:c>
    </x:row>
    <x:row r="152" ht="34" customHeight="1">
      <x:c r="A152" s="124" t="n">
        <x:v>148</x:v>
      </x:c>
      <x:c r="B152" s="62" t="str">
        <x:v>مفقود بلا مصدر</x:v>
      </x:c>
      <x:c r="C152" s="99" t="str">
        <x:v>2001317-2</x:v>
      </x:c>
      <x:c r="D152" s="62" t="str">
        <x:v>الفقه (3)</x:v>
      </x:c>
      <x:c r="E152" s="62" t="str">
        <x:v>القرآن وعلومه</x:v>
      </x:c>
      <x:c r="F152" s="99" t="str">
        <x:v>بكالوريوس</x:v>
      </x:c>
      <x:c r="G152" s="99" t="str">
        <x:v>حديثة</x:v>
      </x:c>
      <x:c r="H152" s="124" t="n">
        <x:v>47</x:v>
      </x:c>
      <x:c r="I152" s="124" t="n">
        <x:v>5</x:v>
      </x:c>
      <x:c r="J152" s="124" t="str"/>
      <x:c r="K152" s="124" t="n">
        <x:v>2</x:v>
      </x:c>
      <x:c r="L152" s="62" t="str">
        <x:v>نظري</x:v>
      </x:c>
      <x:c r="M152" s="62" t="str">
        <x:v>إجبارية القسم</x:v>
      </x:c>
      <x:c r="N152" s="62" t="str">
        <x:v>قسم القراءات</x:v>
      </x:c>
      <x:c r="O152" s="62" t="str">
        <x:v>القرآن وعلومه 47.pdf</x:v>
      </x:c>
      <x:c r="P152" s="122" t="str">
        <x:v>2001317-2||الفقه (3)</x:v>
      </x:c>
    </x:row>
    <x:row r="153" ht="34" customHeight="1">
      <x:c r="A153" s="124" t="n">
        <x:v>149</x:v>
      </x:c>
      <x:c r="B153" s="62" t="str">
        <x:v>مفقود بلا مصدر</x:v>
      </x:c>
      <x:c r="C153" s="99" t="str">
        <x:v>2004320-2</x:v>
      </x:c>
      <x:c r="D153" s="62" t="str">
        <x:v>الحديث (3)</x:v>
      </x:c>
      <x:c r="E153" s="62" t="str">
        <x:v>القرآن وعلومه</x:v>
      </x:c>
      <x:c r="F153" s="99" t="str">
        <x:v>بكالوريوس</x:v>
      </x:c>
      <x:c r="G153" s="99" t="str">
        <x:v>حديثة</x:v>
      </x:c>
      <x:c r="H153" s="124" t="n">
        <x:v>47</x:v>
      </x:c>
      <x:c r="I153" s="124" t="n">
        <x:v>5</x:v>
      </x:c>
      <x:c r="J153" s="124" t="str"/>
      <x:c r="K153" s="124" t="n">
        <x:v>2</x:v>
      </x:c>
      <x:c r="L153" s="62" t="str">
        <x:v>نظري</x:v>
      </x:c>
      <x:c r="M153" s="62" t="str">
        <x:v>متطلبات الكلية</x:v>
      </x:c>
      <x:c r="N153" s="62" t="str">
        <x:v>قسم القراءات</x:v>
      </x:c>
      <x:c r="O153" s="62" t="str">
        <x:v>القرآن وعلومه 47.pdf</x:v>
      </x:c>
      <x:c r="P153" s="122" t="str">
        <x:v>2004320-2||الحديث (3)</x:v>
      </x:c>
    </x:row>
    <x:row r="154" ht="34" customHeight="1">
      <x:c r="A154" s="124" t="n">
        <x:v>150</x:v>
      </x:c>
      <x:c r="B154" s="62" t="str">
        <x:v>مفقود بلا مصدر</x:v>
      </x:c>
      <x:c r="C154" s="99" t="str">
        <x:v>2001330-2</x:v>
      </x:c>
      <x:c r="D154" s="62" t="str">
        <x:v>أصول الفقه (2)</x:v>
      </x:c>
      <x:c r="E154" s="62" t="str">
        <x:v>القرآن وعلومه</x:v>
      </x:c>
      <x:c r="F154" s="99" t="str">
        <x:v>بكالوريوس</x:v>
      </x:c>
      <x:c r="G154" s="99" t="str">
        <x:v>حديثة</x:v>
      </x:c>
      <x:c r="H154" s="124" t="n">
        <x:v>47</x:v>
      </x:c>
      <x:c r="I154" s="124" t="n">
        <x:v>6</x:v>
      </x:c>
      <x:c r="J154" s="124" t="str"/>
      <x:c r="K154" s="124" t="n">
        <x:v>2</x:v>
      </x:c>
      <x:c r="L154" s="62" t="str">
        <x:v>نظري</x:v>
      </x:c>
      <x:c r="M154" s="62" t="str">
        <x:v>إجبارية القسم</x:v>
      </x:c>
      <x:c r="N154" s="62" t="str">
        <x:v>قسم القراءات</x:v>
      </x:c>
      <x:c r="O154" s="62" t="str">
        <x:v>القرآن وعلومه 47.pdf</x:v>
      </x:c>
      <x:c r="P154" s="122" t="str">
        <x:v>2001330-2||أصول الفقه (2)</x:v>
      </x:c>
    </x:row>
    <x:row r="155" ht="34" customHeight="1">
      <x:c r="A155" s="124" t="n">
        <x:v>151</x:v>
      </x:c>
      <x:c r="B155" s="62" t="str">
        <x:v>مفقود بلا مصدر</x:v>
      </x:c>
      <x:c r="C155" s="99" t="str">
        <x:v>2004403-2</x:v>
      </x:c>
      <x:c r="D155" s="62" t="str">
        <x:v>الأديان والفرق والمذاهب المعاصرة</x:v>
      </x:c>
      <x:c r="E155" s="62" t="str">
        <x:v>القرآن وعلومه</x:v>
      </x:c>
      <x:c r="F155" s="99" t="str">
        <x:v>بكالوريوس</x:v>
      </x:c>
      <x:c r="G155" s="99" t="str">
        <x:v>حديثة</x:v>
      </x:c>
      <x:c r="H155" s="124" t="n">
        <x:v>47</x:v>
      </x:c>
      <x:c r="I155" s="124" t="n">
        <x:v>7</x:v>
      </x:c>
      <x:c r="J155" s="124" t="str"/>
      <x:c r="K155" s="124" t="n">
        <x:v>2</x:v>
      </x:c>
      <x:c r="L155" s="62" t="str">
        <x:v>نظري</x:v>
      </x:c>
      <x:c r="M155" s="62" t="str">
        <x:v>متطلبات الكلية</x:v>
      </x:c>
      <x:c r="N155" s="62" t="str">
        <x:v>قسم القراءات</x:v>
      </x:c>
      <x:c r="O155" s="62" t="str">
        <x:v>القرآن وعلومه 47.pdf</x:v>
      </x:c>
      <x:c r="P155" s="122" t="str">
        <x:v>2004403-2||الأديان والفرق والمذاهب المعاصرة</x:v>
      </x:c>
    </x:row>
    <x:row r="156" ht="34" customHeight="1">
      <x:c r="A156" s="124" t="n">
        <x:v>152</x:v>
      </x:c>
      <x:c r="B156" s="62" t="str">
        <x:v>مفقود بلا مصدر</x:v>
      </x:c>
      <x:c r="C156" s="99" t="str">
        <x:v>20024101-2</x:v>
      </x:c>
      <x:c r="D156" s="62" t="str">
        <x:v>قاعة بحث</x:v>
      </x:c>
      <x:c r="E156" s="62" t="str">
        <x:v>القرآن وعلومه</x:v>
      </x:c>
      <x:c r="F156" s="99" t="str">
        <x:v>بكالوريوس</x:v>
      </x:c>
      <x:c r="G156" s="99" t="str">
        <x:v>حديثة</x:v>
      </x:c>
      <x:c r="H156" s="124" t="n">
        <x:v>47</x:v>
      </x:c>
      <x:c r="I156" s="124" t="n">
        <x:v>7</x:v>
      </x:c>
      <x:c r="J156" s="124" t="str"/>
      <x:c r="K156" s="124" t="n">
        <x:v>2</x:v>
      </x:c>
      <x:c r="L156" s="62" t="str">
        <x:v>نظري</x:v>
      </x:c>
      <x:c r="M156" s="62" t="str">
        <x:v>إجبارية القسم</x:v>
      </x:c>
      <x:c r="N156" s="62" t="str">
        <x:v>قسم القراءات</x:v>
      </x:c>
      <x:c r="O156" s="62" t="str">
        <x:v>القرآن وعلومه 47.pdf</x:v>
      </x:c>
      <x:c r="P156" s="122" t="str">
        <x:v>20024101-2||قاعة بحث</x:v>
      </x:c>
    </x:row>
    <x:row r="157" ht="34" customHeight="1">
      <x:c r="A157" s="124" t="n">
        <x:v>153</x:v>
      </x:c>
      <x:c r="B157" s="62" t="str">
        <x:v>مفقود بلا مصدر</x:v>
      </x:c>
      <x:c r="C157" s="99" t="str">
        <x:v>2002266-5</x:v>
      </x:c>
      <x:c r="D157" s="62" t="str">
        <x:v>التدريب التعاوني</x:v>
      </x:c>
      <x:c r="E157" s="62" t="str">
        <x:v>القرآن وعلومه</x:v>
      </x:c>
      <x:c r="F157" s="99" t="str">
        <x:v>بكالوريوس</x:v>
      </x:c>
      <x:c r="G157" s="99" t="str">
        <x:v>حديثة</x:v>
      </x:c>
      <x:c r="H157" s="124" t="n">
        <x:v>47</x:v>
      </x:c>
      <x:c r="I157" s="124" t="n">
        <x:v>8</x:v>
      </x:c>
      <x:c r="J157" s="124" t="str"/>
      <x:c r="K157" s="124" t="n">
        <x:v>5</x:v>
      </x:c>
      <x:c r="L157" s="62" t="str">
        <x:v>تدريب</x:v>
      </x:c>
      <x:c r="M157" s="62" t="str">
        <x:v>إجبارية القسم</x:v>
      </x:c>
      <x:c r="N157" s="62" t="str">
        <x:v>قسم القراءات</x:v>
      </x:c>
      <x:c r="O157" s="62" t="str">
        <x:v>القرآن وعلومه 47.pdf</x:v>
      </x:c>
      <x:c r="P157" s="122" t="str">
        <x:v>2002266-5||التدريب التعاوني</x:v>
      </x:c>
    </x:row>
    <x:row r="158" ht="34" customHeight="1">
      <x:c r="A158" s="124" t="n">
        <x:v>154</x:v>
      </x:c>
      <x:c r="B158" s="62" t="str">
        <x:v>مفقود بلا مصدر</x:v>
      </x:c>
      <x:c r="C158" s="99" t="str">
        <x:v>2001160-2</x:v>
      </x:c>
      <x:c r="D158" s="62" t="str">
        <x:v>المدخل لدراسة الشريعة</x:v>
      </x:c>
      <x:c r="E158" s="62" t="str">
        <x:v>القرآن وعلومه</x:v>
      </x:c>
      <x:c r="F158" s="99" t="str">
        <x:v>بكالوريوس</x:v>
      </x:c>
      <x:c r="G158" s="99" t="str">
        <x:v>قديمة</x:v>
      </x:c>
      <x:c r="H158" s="124" t="n">
        <x:v>39</x:v>
      </x:c>
      <x:c r="I158" s="124" t="n">
        <x:v>1</x:v>
      </x:c>
      <x:c r="J158" s="124" t="str"/>
      <x:c r="K158" s="124" t="n">
        <x:v>2</x:v>
      </x:c>
      <x:c r="L158" s="62" t="str">
        <x:v>نظري</x:v>
      </x:c>
      <x:c r="M158" s="62" t="str">
        <x:v>إجبارية القسم</x:v>
      </x:c>
      <x:c r="N158" s="62" t="str">
        <x:v>قسم القراءات</x:v>
      </x:c>
      <x:c r="O158" s="62" t="str">
        <x:v>القرآن وعلومه 39.pdf</x:v>
      </x:c>
      <x:c r="P158" s="122" t="str">
        <x:v>2001160-2||المدخل لدراسة الشريعة</x:v>
      </x:c>
    </x:row>
    <x:row r="159" ht="34" customHeight="1">
      <x:c r="A159" s="124" t="n">
        <x:v>155</x:v>
      </x:c>
      <x:c r="B159" s="62" t="str">
        <x:v>مفقود بلا مصدر</x:v>
      </x:c>
      <x:c r="C159" s="99" t="str">
        <x:v>101221-2</x:v>
      </x:c>
      <x:c r="D159" s="62" t="str">
        <x:v>الفقه (1)</x:v>
      </x:c>
      <x:c r="E159" s="62" t="str">
        <x:v>القرآن وعلومه</x:v>
      </x:c>
      <x:c r="F159" s="99" t="str">
        <x:v>بكالوريوس</x:v>
      </x:c>
      <x:c r="G159" s="99" t="str">
        <x:v>قديمة</x:v>
      </x:c>
      <x:c r="H159" s="124" t="n">
        <x:v>39</x:v>
      </x:c>
      <x:c r="I159" s="124" t="n">
        <x:v>3</x:v>
      </x:c>
      <x:c r="J159" s="124" t="str"/>
      <x:c r="K159" s="124" t="n">
        <x:v>2</x:v>
      </x:c>
      <x:c r="L159" s="62" t="str">
        <x:v>نظري</x:v>
      </x:c>
      <x:c r="M159" s="62" t="str">
        <x:v>إجبارية القسم</x:v>
      </x:c>
      <x:c r="N159" s="62" t="str">
        <x:v>قسم القراءات</x:v>
      </x:c>
      <x:c r="O159" s="62" t="str">
        <x:v>القرآن وعلومه 39.pdf</x:v>
      </x:c>
      <x:c r="P159" s="122" t="str">
        <x:v>101221-2||الفقه (1)</x:v>
      </x:c>
    </x:row>
    <x:row r="160" ht="34" customHeight="1">
      <x:c r="A160" s="124" t="n">
        <x:v>156</x:v>
      </x:c>
      <x:c r="B160" s="62" t="str">
        <x:v>مفقود بلا مصدر</x:v>
      </x:c>
      <x:c r="C160" s="99" t="str">
        <x:v>2001205-2</x:v>
      </x:c>
      <x:c r="D160" s="62" t="str">
        <x:v>الحديث (1)</x:v>
      </x:c>
      <x:c r="E160" s="62" t="str">
        <x:v>القرآن وعلومه</x:v>
      </x:c>
      <x:c r="F160" s="99" t="str">
        <x:v>بكالوريوس</x:v>
      </x:c>
      <x:c r="G160" s="99" t="str">
        <x:v>قديمة</x:v>
      </x:c>
      <x:c r="H160" s="124" t="n">
        <x:v>39</x:v>
      </x:c>
      <x:c r="I160" s="124" t="n">
        <x:v>3</x:v>
      </x:c>
      <x:c r="J160" s="124" t="str"/>
      <x:c r="K160" s="124" t="n">
        <x:v>2</x:v>
      </x:c>
      <x:c r="L160" s="62" t="str">
        <x:v>نظري</x:v>
      </x:c>
      <x:c r="M160" s="62" t="str">
        <x:v>إجبارية القسم</x:v>
      </x:c>
      <x:c r="N160" s="62" t="str">
        <x:v>قسم القراءات</x:v>
      </x:c>
      <x:c r="O160" s="62" t="str">
        <x:v>القرآن وعلومه 39.pdf</x:v>
      </x:c>
      <x:c r="P160" s="122" t="str">
        <x:v>2001205-2||الحديث (1)</x:v>
      </x:c>
    </x:row>
    <x:row r="161" ht="34" customHeight="1">
      <x:c r="A161" s="124" t="n">
        <x:v>157</x:v>
      </x:c>
      <x:c r="B161" s="62" t="str">
        <x:v>مفقود بلا مصدر</x:v>
      </x:c>
      <x:c r="C161" s="99" t="str">
        <x:v>2001209-2</x:v>
      </x:c>
      <x:c r="D161" s="62" t="str">
        <x:v>الحديث (2)</x:v>
      </x:c>
      <x:c r="E161" s="62" t="str">
        <x:v>القرآن وعلومه</x:v>
      </x:c>
      <x:c r="F161" s="99" t="str">
        <x:v>بكالوريوس</x:v>
      </x:c>
      <x:c r="G161" s="99" t="str">
        <x:v>قديمة</x:v>
      </x:c>
      <x:c r="H161" s="124" t="n">
        <x:v>39</x:v>
      </x:c>
      <x:c r="I161" s="124" t="n">
        <x:v>4</x:v>
      </x:c>
      <x:c r="J161" s="124" t="str"/>
      <x:c r="K161" s="124" t="n">
        <x:v>2</x:v>
      </x:c>
      <x:c r="L161" s="62" t="str">
        <x:v>نظري</x:v>
      </x:c>
      <x:c r="M161" s="62" t="str">
        <x:v>إجبارية القسم</x:v>
      </x:c>
      <x:c r="N161" s="62" t="str">
        <x:v>قسم القراءات</x:v>
      </x:c>
      <x:c r="O161" s="62" t="str">
        <x:v>القرآن وعلومه 39.pdf</x:v>
      </x:c>
      <x:c r="P161" s="122" t="str">
        <x:v>2001209-2||الحديث (2)</x:v>
      </x:c>
    </x:row>
    <x:row r="162" ht="34" customHeight="1">
      <x:c r="A162" s="124" t="n">
        <x:v>158</x:v>
      </x:c>
      <x:c r="B162" s="62" t="str">
        <x:v>مفقود بلا مصدر</x:v>
      </x:c>
      <x:c r="C162" s="99" t="str">
        <x:v>2001322-2</x:v>
      </x:c>
      <x:c r="D162" s="62" t="str">
        <x:v>الفقه (2)</x:v>
      </x:c>
      <x:c r="E162" s="62" t="str">
        <x:v>القرآن وعلومه</x:v>
      </x:c>
      <x:c r="F162" s="99" t="str">
        <x:v>بكالوريوس</x:v>
      </x:c>
      <x:c r="G162" s="99" t="str">
        <x:v>قديمة</x:v>
      </x:c>
      <x:c r="H162" s="124" t="n">
        <x:v>39</x:v>
      </x:c>
      <x:c r="I162" s="124" t="n">
        <x:v>4</x:v>
      </x:c>
      <x:c r="J162" s="124" t="str"/>
      <x:c r="K162" s="124" t="n">
        <x:v>2</x:v>
      </x:c>
      <x:c r="L162" s="62" t="str">
        <x:v>نظري</x:v>
      </x:c>
      <x:c r="M162" s="62" t="str">
        <x:v>إجبارية القسم</x:v>
      </x:c>
      <x:c r="N162" s="62" t="str">
        <x:v>قسم القراءات</x:v>
      </x:c>
      <x:c r="O162" s="62" t="str">
        <x:v>القرآن وعلومه 39.pdf</x:v>
      </x:c>
      <x:c r="P162" s="122" t="str">
        <x:v>2001322-2||الفقه (2)</x:v>
      </x:c>
    </x:row>
    <x:row r="163" ht="34" customHeight="1">
      <x:c r="A163" s="124" t="n">
        <x:v>159</x:v>
      </x:c>
      <x:c r="B163" s="62" t="str">
        <x:v>مفقود بلا مصدر</x:v>
      </x:c>
      <x:c r="C163" s="99" t="str">
        <x:v>2003220-2</x:v>
      </x:c>
      <x:c r="D163" s="62" t="str">
        <x:v>المدخل لدراسة الأنظمة</x:v>
      </x:c>
      <x:c r="E163" s="62" t="str">
        <x:v>القرآن وعلومه</x:v>
      </x:c>
      <x:c r="F163" s="99" t="str">
        <x:v>بكالوريوس</x:v>
      </x:c>
      <x:c r="G163" s="99" t="str">
        <x:v>قديمة</x:v>
      </x:c>
      <x:c r="H163" s="124" t="n">
        <x:v>39</x:v>
      </x:c>
      <x:c r="I163" s="124" t="n">
        <x:v>4</x:v>
      </x:c>
      <x:c r="J163" s="124" t="str"/>
      <x:c r="K163" s="124" t="n">
        <x:v>2</x:v>
      </x:c>
      <x:c r="L163" s="62" t="str">
        <x:v>نظري</x:v>
      </x:c>
      <x:c r="M163" s="62" t="str">
        <x:v>إجبارية القسم</x:v>
      </x:c>
      <x:c r="N163" s="62" t="str">
        <x:v>قسم القراءات</x:v>
      </x:c>
      <x:c r="O163" s="62" t="str">
        <x:v>القرآن وعلومه 39.pdf</x:v>
      </x:c>
      <x:c r="P163" s="122" t="str">
        <x:v>2003220-2||المدخل لدراسة الأنظمة</x:v>
      </x:c>
    </x:row>
    <x:row r="164" ht="34" customHeight="1">
      <x:c r="A164" s="124" t="n">
        <x:v>160</x:v>
      </x:c>
      <x:c r="B164" s="62" t="str">
        <x:v>مفقود بلا مصدر</x:v>
      </x:c>
      <x:c r="C164" s="99" t="str">
        <x:v>2001113-2</x:v>
      </x:c>
      <x:c r="D164" s="62" t="str">
        <x:v>أصول الفقه (1)</x:v>
      </x:c>
      <x:c r="E164" s="62" t="str">
        <x:v>القرآن وعلومه</x:v>
      </x:c>
      <x:c r="F164" s="99" t="str">
        <x:v>بكالوريوس</x:v>
      </x:c>
      <x:c r="G164" s="99" t="str">
        <x:v>قديمة</x:v>
      </x:c>
      <x:c r="H164" s="124" t="n">
        <x:v>39</x:v>
      </x:c>
      <x:c r="I164" s="124" t="n">
        <x:v>5</x:v>
      </x:c>
      <x:c r="J164" s="124" t="str"/>
      <x:c r="K164" s="124" t="n">
        <x:v>2</x:v>
      </x:c>
      <x:c r="L164" s="62" t="str">
        <x:v>نظري</x:v>
      </x:c>
      <x:c r="M164" s="62" t="str">
        <x:v>إجبارية القسم</x:v>
      </x:c>
      <x:c r="N164" s="62" t="str">
        <x:v>قسم القراءات</x:v>
      </x:c>
      <x:c r="O164" s="62" t="str">
        <x:v>القرآن وعلومه 39.pdf</x:v>
      </x:c>
      <x:c r="P164" s="122" t="str">
        <x:v>2001113-2||أصول الفقه (1)</x:v>
      </x:c>
    </x:row>
    <x:row r="165" ht="34" customHeight="1">
      <x:c r="A165" s="124" t="n">
        <x:v>161</x:v>
      </x:c>
      <x:c r="B165" s="62" t="str">
        <x:v>مفقود بلا مصدر</x:v>
      </x:c>
      <x:c r="C165" s="99" t="str">
        <x:v>2001317-2</x:v>
      </x:c>
      <x:c r="D165" s="62" t="str">
        <x:v>الفقه (3)</x:v>
      </x:c>
      <x:c r="E165" s="62" t="str">
        <x:v>القرآن وعلومه</x:v>
      </x:c>
      <x:c r="F165" s="99" t="str">
        <x:v>بكالوريوس</x:v>
      </x:c>
      <x:c r="G165" s="99" t="str">
        <x:v>قديمة</x:v>
      </x:c>
      <x:c r="H165" s="124" t="n">
        <x:v>39</x:v>
      </x:c>
      <x:c r="I165" s="124" t="n">
        <x:v>5</x:v>
      </x:c>
      <x:c r="J165" s="124" t="str"/>
      <x:c r="K165" s="124" t="n">
        <x:v>2</x:v>
      </x:c>
      <x:c r="L165" s="62" t="str">
        <x:v>نظري</x:v>
      </x:c>
      <x:c r="M165" s="62" t="str">
        <x:v>إجبارية القسم</x:v>
      </x:c>
      <x:c r="N165" s="62" t="str">
        <x:v>قسم القراءات</x:v>
      </x:c>
      <x:c r="O165" s="62" t="str">
        <x:v>القرآن وعلومه 39.pdf</x:v>
      </x:c>
      <x:c r="P165" s="122" t="str">
        <x:v>2001317-2||الفقه (3)</x:v>
      </x:c>
    </x:row>
    <x:row r="166" ht="34" customHeight="1">
      <x:c r="A166" s="124" t="n">
        <x:v>162</x:v>
      </x:c>
      <x:c r="B166" s="62" t="str">
        <x:v>مفقود بلا مصدر</x:v>
      </x:c>
      <x:c r="C166" s="99" t="str">
        <x:v>2001320-2</x:v>
      </x:c>
      <x:c r="D166" s="62" t="str">
        <x:v>الحديث (3)</x:v>
      </x:c>
      <x:c r="E166" s="62" t="str">
        <x:v>القرآن وعلومه</x:v>
      </x:c>
      <x:c r="F166" s="99" t="str">
        <x:v>بكالوريوس</x:v>
      </x:c>
      <x:c r="G166" s="99" t="str">
        <x:v>قديمة</x:v>
      </x:c>
      <x:c r="H166" s="124" t="n">
        <x:v>39</x:v>
      </x:c>
      <x:c r="I166" s="124" t="n">
        <x:v>6</x:v>
      </x:c>
      <x:c r="J166" s="124" t="str"/>
      <x:c r="K166" s="124" t="n">
        <x:v>2</x:v>
      </x:c>
      <x:c r="L166" s="62" t="str">
        <x:v>نظري</x:v>
      </x:c>
      <x:c r="M166" s="62" t="str">
        <x:v>إجبارية القسم</x:v>
      </x:c>
      <x:c r="N166" s="62" t="str">
        <x:v>قسم القراءات</x:v>
      </x:c>
      <x:c r="O166" s="62" t="str">
        <x:v>القرآن وعلومه 39.pdf</x:v>
      </x:c>
      <x:c r="P166" s="122" t="str">
        <x:v>2001320-2||الحديث (3)</x:v>
      </x:c>
    </x:row>
    <x:row r="167" ht="34" customHeight="1">
      <x:c r="A167" s="124" t="n">
        <x:v>163</x:v>
      </x:c>
      <x:c r="B167" s="62" t="str">
        <x:v>مفقود بلا مصدر</x:v>
      </x:c>
      <x:c r="C167" s="99" t="str">
        <x:v>2001330-2</x:v>
      </x:c>
      <x:c r="D167" s="62" t="str">
        <x:v>أصول الفقه (2)</x:v>
      </x:c>
      <x:c r="E167" s="62" t="str">
        <x:v>القرآن وعلومه</x:v>
      </x:c>
      <x:c r="F167" s="99" t="str">
        <x:v>بكالوريوس</x:v>
      </x:c>
      <x:c r="G167" s="99" t="str">
        <x:v>قديمة</x:v>
      </x:c>
      <x:c r="H167" s="124" t="n">
        <x:v>39</x:v>
      </x:c>
      <x:c r="I167" s="124" t="n">
        <x:v>6</x:v>
      </x:c>
      <x:c r="J167" s="124" t="str"/>
      <x:c r="K167" s="124" t="n">
        <x:v>2</x:v>
      </x:c>
      <x:c r="L167" s="62" t="str">
        <x:v>نظري</x:v>
      </x:c>
      <x:c r="M167" s="62" t="str">
        <x:v>إجبارية القسم</x:v>
      </x:c>
      <x:c r="N167" s="62" t="str">
        <x:v>قسم القراءات</x:v>
      </x:c>
      <x:c r="O167" s="62" t="str">
        <x:v>القرآن وعلومه 39.pdf</x:v>
      </x:c>
      <x:c r="P167" s="122" t="str">
        <x:v>2001330-2||أصول الفقه (2)</x:v>
      </x:c>
    </x:row>
    <x:row r="168" ht="34" customHeight="1">
      <x:c r="A168" s="124" t="n">
        <x:v>164</x:v>
      </x:c>
      <x:c r="B168" s="62" t="str">
        <x:v>مفقود بلا مصدر</x:v>
      </x:c>
      <x:c r="C168" s="99" t="str">
        <x:v>2001424-2</x:v>
      </x:c>
      <x:c r="D168" s="62" t="str">
        <x:v>الفقه (4)</x:v>
      </x:c>
      <x:c r="E168" s="62" t="str">
        <x:v>القرآن وعلومه</x:v>
      </x:c>
      <x:c r="F168" s="99" t="str">
        <x:v>بكالوريوس</x:v>
      </x:c>
      <x:c r="G168" s="99" t="str">
        <x:v>قديمة</x:v>
      </x:c>
      <x:c r="H168" s="124" t="n">
        <x:v>39</x:v>
      </x:c>
      <x:c r="I168" s="124" t="n">
        <x:v>8</x:v>
      </x:c>
      <x:c r="J168" s="124" t="str"/>
      <x:c r="K168" s="124" t="n">
        <x:v>2</x:v>
      </x:c>
      <x:c r="L168" s="62" t="str">
        <x:v>نظري</x:v>
      </x:c>
      <x:c r="M168" s="62" t="str">
        <x:v>إجبارية القسم</x:v>
      </x:c>
      <x:c r="N168" s="62" t="str">
        <x:v>قسم القراءات</x:v>
      </x:c>
      <x:c r="O168" s="62" t="str">
        <x:v>القرآن وعلومه 39.pdf</x:v>
      </x:c>
      <x:c r="P168" s="122" t="str">
        <x:v>2001424-2||الفقه (4)</x:v>
      </x:c>
    </x:row>
  </x:sheetData>
  <x:mergeCells>
    <x:mergeCell ref="A1:P1"/>
    <x:mergeCell ref="A2:P2"/>
  </x:mergeCells>
  <x:conditionalFormatting sqref="B5:B168">
    <x:cfRule type="containsText" dxfId="4" priority="1" operator="containsText" text="مرشح يحتاج حسم"/>
  </x:conditionalFormatting>
  <x:pageMargins left="0.7" right="0.7" top="0.75" bottom="0.75" header="0.3" footer="0.3"/>
  <x:tableParts count="1">
    <x:tablePart xmlns:r="http://schemas.openxmlformats.org/officeDocument/2006/relationships" r:id="R09c4d49b8c2047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27" hidden="0" customWidth="1"/>
    <x:col min="4" max="4" width="25" hidden="0" customWidth="1"/>
    <x:col min="5" max="5" width="12" hidden="0" customWidth="1"/>
    <x:col min="6" max="6" width="46" hidden="0" customWidth="1"/>
    <x:col min="7" max="7" width="16" hidden="0" customWidth="1"/>
    <x:col min="8" max="8" width="28" hidden="0" customWidth="1"/>
    <x:col min="9" max="9" width="12" hidden="0" customWidth="1"/>
    <x:col min="10" max="10" width="46" hidden="0" customWidth="1"/>
    <x:col min="11" max="11" width="58" hidden="0" customWidth="1"/>
    <x:col min="12" max="12" width="44" hidden="0" customWidth="1"/>
    <x:col min="13" max="13" width="25" hidden="0" customWidth="1"/>
    <x:col min="14" max="14" width="34" hidden="0" customWidth="1"/>
  </x:cols>
  <x:sheetData>
    <x:row r="1" ht="34" customHeight="1">
      <x:c r="A1" s="4" t="str">
        <x:v>حالات لها ملفات مرشحة وتحتاج قرارًا — 5 هويات</x:v>
      </x:c>
      <x:c r="B1" s="4" t="str">
        <x:v>حالات لها ملفات مرشحة وتحتاج قرارًا — 5 هويات</x:v>
      </x:c>
      <x:c r="C1" s="4" t="str">
        <x:v>حالات لها ملفات مرشحة وتحتاج قرارًا — 5 هويات</x:v>
      </x:c>
      <x:c r="D1" s="4" t="str">
        <x:v>حالات لها ملفات مرشحة وتحتاج قرارًا — 5 هويات</x:v>
      </x:c>
      <x:c r="E1" s="4" t="str">
        <x:v>حالات لها ملفات مرشحة وتحتاج قرارًا — 5 هويات</x:v>
      </x:c>
      <x:c r="F1" s="4" t="str">
        <x:v>حالات لها ملفات مرشحة وتحتاج قرارًا — 5 هويات</x:v>
      </x:c>
      <x:c r="G1" s="4" t="str">
        <x:v>حالات لها ملفات مرشحة وتحتاج قرارًا — 5 هويات</x:v>
      </x:c>
      <x:c r="H1" s="4" t="str">
        <x:v>حالات لها ملفات مرشحة وتحتاج قرارًا — 5 هويات</x:v>
      </x:c>
      <x:c r="I1" s="4" t="str">
        <x:v>حالات لها ملفات مرشحة وتحتاج قرارًا — 5 هويات</x:v>
      </x:c>
      <x:c r="J1" s="4" t="str">
        <x:v>حالات لها ملفات مرشحة وتحتاج قرارًا — 5 هويات</x:v>
      </x:c>
      <x:c r="K1" s="4" t="str">
        <x:v>حالات لها ملفات مرشحة وتحتاج قرارًا — 5 هويات</x:v>
      </x:c>
      <x:c r="L1" s="4" t="str">
        <x:v>حالات لها ملفات مرشحة وتحتاج قرارًا — 5 هويات</x:v>
      </x:c>
      <x:c r="M1" s="4" t="str">
        <x:v>حالات لها ملفات مرشحة وتحتاج قرارًا — 5 هويات</x:v>
      </x:c>
      <x:c r="N1" s="4" t="str">
        <x:v>حالات لها ملفات مرشحة وتحتاج قرارًا — 5 هويات</x:v>
      </x:c>
    </x:row>
    <x:row r="2" ht="42" customHeight="1">
      <x:c r="A2" s="16" t="str">
        <x:v>هذه الحالات ليست ضمن الـ116 المطلوب توفيرها مباشرة؛ راجع المرشح أولًا. لا يُربط الملف إلا بعد اعتماد أنه تحديث للهوية أو بعد توفير توصيف مستقل مطابق.</x:v>
      </x:c>
      <x:c r="B2" s="17" t="str">
        <x:v>هذه الحالات ليست ضمن الـ116 المطلوب توفيرها مباشرة؛ راجع المرشح أولًا. لا يُربط الملف إلا بعد اعتماد أنه تحديث للهوية أو بعد توفير توصيف مستقل مطابق.</x:v>
      </x:c>
      <x:c r="C2" s="17" t="str">
        <x:v>هذه الحالات ليست ضمن الـ116 المطلوب توفيرها مباشرة؛ راجع المرشح أولًا. لا يُربط الملف إلا بعد اعتماد أنه تحديث للهوية أو بعد توفير توصيف مستقل مطابق.</x:v>
      </x:c>
      <x:c r="D2" s="17" t="str">
        <x:v>هذه الحالات ليست ضمن الـ116 المطلوب توفيرها مباشرة؛ راجع المرشح أولًا. لا يُربط الملف إلا بعد اعتماد أنه تحديث للهوية أو بعد توفير توصيف مستقل مطابق.</x:v>
      </x:c>
      <x:c r="E2" s="17" t="str">
        <x:v>هذه الحالات ليست ضمن الـ116 المطلوب توفيرها مباشرة؛ راجع المرشح أولًا. لا يُربط الملف إلا بعد اعتماد أنه تحديث للهوية أو بعد توفير توصيف مستقل مطابق.</x:v>
      </x:c>
      <x:c r="F2" s="17" t="str">
        <x:v>هذه الحالات ليست ضمن الـ116 المطلوب توفيرها مباشرة؛ راجع المرشح أولًا. لا يُربط الملف إلا بعد اعتماد أنه تحديث للهوية أو بعد توفير توصيف مستقل مطابق.</x:v>
      </x:c>
      <x:c r="G2" s="17" t="str">
        <x:v>هذه الحالات ليست ضمن الـ116 المطلوب توفيرها مباشرة؛ راجع المرشح أولًا. لا يُربط الملف إلا بعد اعتماد أنه تحديث للهوية أو بعد توفير توصيف مستقل مطابق.</x:v>
      </x:c>
      <x:c r="H2" s="17" t="str">
        <x:v>هذه الحالات ليست ضمن الـ116 المطلوب توفيرها مباشرة؛ راجع المرشح أولًا. لا يُربط الملف إلا بعد اعتماد أنه تحديث للهوية أو بعد توفير توصيف مستقل مطابق.</x:v>
      </x:c>
      <x:c r="I2" s="17" t="str">
        <x:v>هذه الحالات ليست ضمن الـ116 المطلوب توفيرها مباشرة؛ راجع المرشح أولًا. لا يُربط الملف إلا بعد اعتماد أنه تحديث للهوية أو بعد توفير توصيف مستقل مطابق.</x:v>
      </x:c>
      <x:c r="J2" s="17" t="str">
        <x:v>هذه الحالات ليست ضمن الـ116 المطلوب توفيرها مباشرة؛ راجع المرشح أولًا. لا يُربط الملف إلا بعد اعتماد أنه تحديث للهوية أو بعد توفير توصيف مستقل مطابق.</x:v>
      </x:c>
      <x:c r="K2" s="17" t="str">
        <x:v>هذه الحالات ليست ضمن الـ116 المطلوب توفيرها مباشرة؛ راجع المرشح أولًا. لا يُربط الملف إلا بعد اعتماد أنه تحديث للهوية أو بعد توفير توصيف مستقل مطابق.</x:v>
      </x:c>
      <x:c r="L2" s="17" t="str">
        <x:v>هذه الحالات ليست ضمن الـ116 المطلوب توفيرها مباشرة؛ راجع المرشح أولًا. لا يُربط الملف إلا بعد اعتماد أنه تحديث للهوية أو بعد توفير توصيف مستقل مطابق.</x:v>
      </x:c>
      <x:c r="M2" s="17" t="str">
        <x:v>هذه الحالات ليست ضمن الـ116 المطلوب توفيرها مباشرة؛ راجع المرشح أولًا. لا يُربط الملف إلا بعد اعتماد أنه تحديث للهوية أو بعد توفير توصيف مستقل مطابق.</x:v>
      </x:c>
      <x:c r="N2" s="18" t="str">
        <x:v>هذه الحالات ليست ضمن الـ116 المطلوب توفيرها مباشرة؛ راجع المرشح أولًا. لا يُربط الملف إلا بعد اعتماد أنه تحديث للهوية أو بعد توفير توصيف مستقل مطابق.</x:v>
      </x:c>
    </x:row>
    <x:row r="4" ht="32" customHeight="1">
      <x:c r="A4" s="53" t="str">
        <x:v>م</x:v>
      </x:c>
      <x:c r="B4" s="54" t="str">
        <x:v>رمز المقرر</x:v>
      </x:c>
      <x:c r="C4" s="54" t="str">
        <x:v>اسم المقرر</x:v>
      </x:c>
      <x:c r="D4" s="54" t="str">
        <x:v>نطاق الخطة</x:v>
      </x:c>
      <x:c r="E4" s="54" t="str">
        <x:v>عدد الظهورات</x:v>
      </x:c>
      <x:c r="F4" s="54" t="str">
        <x:v>البرامج والدرجات</x:v>
      </x:c>
      <x:c r="G4" s="54" t="str">
        <x:v>رمز المرشح</x:v>
      </x:c>
      <x:c r="H4" s="54" t="str">
        <x:v>اسم المرشح</x:v>
      </x:c>
      <x:c r="I4" s="54" t="str">
        <x:v>ساعات المرشح</x:v>
      </x:c>
      <x:c r="J4" s="54" t="str">
        <x:v>ملفات المرشح</x:v>
      </x:c>
      <x:c r="K4" s="54" t="str">
        <x:v>سبب عدم الربط</x:v>
      </x:c>
      <x:c r="L4" s="54" t="str">
        <x:v>ملفات الدليل</x:v>
      </x:c>
      <x:c r="M4" s="54" t="str">
        <x:v>القرار</x:v>
      </x:c>
      <x:c r="N4" s="55" t="str">
        <x:v>ملاحظات</x:v>
      </x:c>
    </x:row>
    <x:row r="5" ht="76" customHeight="1">
      <x:c r="A5" s="123" t="n">
        <x:v>1</x:v>
      </x:c>
      <x:c r="B5" s="98" t="str">
        <x:v>2001106-2</x:v>
      </x:c>
      <x:c r="C5" s="61" t="str">
        <x:v>السيرة النبوية</x:v>
      </x:c>
      <x:c r="D5" s="98" t="str">
        <x:v>قديمة فقط</x:v>
      </x:c>
      <x:c r="E5" s="123" t="n">
        <x:v>2</x:v>
      </x:c>
      <x:c r="F5" s="61" t="str">
        <x:v>القرآن وعلومه | بكالوريوس | قديمة | إصدار 39؛ القراءات | بكالوريوس | قديمة | إصدار 38</x:v>
      </x:c>
      <x:c r="G5" s="98" t="str">
        <x:v>20044207-2</x:v>
      </x:c>
      <x:c r="H5" s="98" t="str">
        <x:v>السيرة النبوية</x:v>
      </x:c>
      <x:c r="I5" s="98" t="n">
        <x:v>2</x:v>
      </x:c>
      <x:c r="J5" s="61" t="str">
        <x:v>assets/course-specifications/islamic-studies-bundle-1444/20044207-2.pdf</x:v>
      </x:c>
      <x:c r="K5" s="61" t="str">
        <x:v>يوجد توصيف بالاسم نفسه والساعات نفسها، لكنه مرتبط بخطة الدراسات الإسلامية القديمة ويحمل رمزًا مختلفًا؛ لا يثبت أنه توصيف المقرر ذي الرمز 2001106-2 في برنامجي القراءات والقرآن وعلومه.</x:v>
      </x:c>
      <x:c r="L5" s="61" t="str">
        <x:v>assets/course-specifications/islamic-studies-bundle-1444/manifest.json؛ data.json</x:v>
      </x:c>
      <x:c r="M5" s="61" t="str">
        <x:v>يحتاج حسم</x:v>
      </x:c>
      <x:c r="N5" s="61" t="str"/>
    </x:row>
    <x:row r="6" ht="76" customHeight="1">
      <x:c r="A6" s="124" t="n">
        <x:v>2</x:v>
      </x:c>
      <x:c r="B6" s="99" t="str">
        <x:v>20014201-2</x:v>
      </x:c>
      <x:c r="C6" s="62" t="str">
        <x:v>التدريبات العملية</x:v>
      </x:c>
      <x:c r="D6" s="99" t="str">
        <x:v>قديمة فقط</x:v>
      </x:c>
      <x:c r="E6" s="124" t="n">
        <x:v>1</x:v>
      </x:c>
      <x:c r="F6" s="62" t="str">
        <x:v>الشريعة | بكالوريوس | قديمة | إصدار 39</x:v>
      </x:c>
      <x:c r="G6" s="99" t="str">
        <x:v>2001435-3</x:v>
      </x:c>
      <x:c r="H6" s="99" t="str">
        <x:v>التدريبات العملية</x:v>
      </x:c>
      <x:c r="I6" s="99" t="n">
        <x:v>3</x:v>
      </x:c>
      <x:c r="J6" s="62" t="str">
        <x:v>assets/course-specifications/sharia-ba-1445/quarantine/2001435-3.pdf</x:v>
      </x:c>
      <x:c r="K6" s="62" t="str">
        <x:v>الاسم مطابق، لكن الرمز والساعات مختلفان عن الخطة (20014201-2 وساعتان)، كما أن وصف المحتوى المسجل في المنافيست يطابق فقه النوازل لا التدريب؛ لذلك لا يصلح الربط أو تعديل الهوية بلا مراجعة أصلية.</x:v>
      </x:c>
      <x:c r="L6" s="62" t="str">
        <x:v>assets/course-specifications/sharia-ba-1445/manifest.json؛ COURSE_SPECIFICATIONS_AUDIT.md</x:v>
      </x:c>
      <x:c r="M6" s="62" t="str">
        <x:v>يحتاج حسم</x:v>
      </x:c>
      <x:c r="N6" s="62" t="str"/>
    </x:row>
    <x:row r="7" ht="76" customHeight="1">
      <x:c r="A7" s="124" t="n">
        <x:v>3</x:v>
      </x:c>
      <x:c r="B7" s="99" t="str">
        <x:v>2002235-2</x:v>
      </x:c>
      <x:c r="C7" s="62" t="str">
        <x:v>القرآن الكريم (٧)</x:v>
      </x:c>
      <x:c r="D7" s="99" t="str">
        <x:v>حديثة فقط</x:v>
      </x:c>
      <x:c r="E7" s="124" t="n">
        <x:v>1</x:v>
      </x:c>
      <x:c r="F7" s="62" t="str">
        <x:v>الدراسات الإسلامية | بكالوريوس | حديثة | إصدار 47</x:v>
      </x:c>
      <x:c r="G7" s="99" t="str">
        <x:v>20024103-2</x:v>
      </x:c>
      <x:c r="H7" s="99" t="str">
        <x:v>قرآن كريم حفظ وتلاوة (7)</x:v>
      </x:c>
      <x:c r="I7" s="99" t="n">
        <x:v>2</x:v>
      </x:c>
      <x:c r="J7" s="62" t="str">
        <x:v>assets/course-specifications/islamic-studies-bundle-1444/20024103-2.pdf؛ assets/course-specifications/local-gap-completion-20260822/quran-culture/2002210-2.pdf</x:v>
      </x:c>
      <x:c r="K7" s="62" t="str">
        <x:v>أفضل مرشح من الخطة القديمة للبرنامج نفسه وله الجزء والساعات نفسيهما، لكن الرمز والعنوان غير متطابقين. ويزيد الالتباس أن الرمز 2002235-2 كان ظاهرًا في مصدر مختلف عنوانه «دراسات في علوم القرآن» ثم صُحح إلى 2002210-2، فلا يجوز الاعتماد على الرمز وحده.</x:v>
      </x:c>
      <x:c r="L7" s="62" t="str">
        <x:v>assets/course-specifications/islamic-studies-bundle-1444/manifest.json؛ assets/course-specifications/local-gap-completion-20260822/quran-culture/manifest.json</x:v>
      </x:c>
      <x:c r="M7" s="62" t="str">
        <x:v>يحتاج حسم</x:v>
      </x:c>
      <x:c r="N7" s="62" t="str"/>
    </x:row>
    <x:row r="8" ht="76" customHeight="1">
      <x:c r="A8" s="124" t="n">
        <x:v>4</x:v>
      </x:c>
      <x:c r="B8" s="99" t="str">
        <x:v>20024102-2</x:v>
      </x:c>
      <x:c r="C8" s="62" t="str">
        <x:v>تفسير جزء عم</x:v>
      </x:c>
      <x:c r="D8" s="99" t="str">
        <x:v>حديثة فقط</x:v>
      </x:c>
      <x:c r="E8" s="124" t="n">
        <x:v>1</x:v>
      </x:c>
      <x:c r="F8" s="62" t="str">
        <x:v>القرآن وعلومه | بكالوريوس | حديثة | إصدار 47</x:v>
      </x:c>
      <x:c r="G8" s="99" t="str">
        <x:v>2002427-2</x:v>
      </x:c>
      <x:c r="H8" s="99" t="str">
        <x:v>التفسير (8)</x:v>
      </x:c>
      <x:c r="I8" s="99" t="n">
        <x:v>2</x:v>
      </x:c>
      <x:c r="J8" s="62" t="str">
        <x:v>assets/course-specifications/quran-old-v39/2002427-2.pdf</x:v>
      </x:c>
      <x:c r="K8" s="62" t="str">
        <x:v>المحتوى المسجل للمرشح هو التفسير التحليلي لجزء عم، وهو قريب جدًا من المقرر المطلوب وفي البرنامج نفسه، لكن الرمز والعنوان كلاهما تغيرا؛ يلزم اعتماد أنه تحديث للهوية لا مقرر مستقل.</x:v>
      </x:c>
      <x:c r="L8" s="62" t="str">
        <x:v>assets/course-specifications/quran-old-v39/manifest.json؛ data.json</x:v>
      </x:c>
      <x:c r="M8" s="62" t="str">
        <x:v>يحتاج حسم</x:v>
      </x:c>
      <x:c r="N8" s="62" t="str"/>
    </x:row>
    <x:row r="9" ht="76" customHeight="1">
      <x:c r="A9" s="124" t="n">
        <x:v>5</x:v>
      </x:c>
      <x:c r="B9" s="99" t="str">
        <x:v>2003347-2</x:v>
      </x:c>
      <x:c r="C9" s="62" t="str">
        <x:v>نظام البيئة</x:v>
      </x:c>
      <x:c r="D9" s="99" t="str">
        <x:v>حديثة فقط</x:v>
      </x:c>
      <x:c r="E9" s="124" t="n">
        <x:v>1</x:v>
      </x:c>
      <x:c r="F9" s="62" t="str">
        <x:v>الأنظمة | بكالوريوس | حديثة | إصدار 47</x:v>
      </x:c>
      <x:c r="G9" s="99" t="str">
        <x:v>20034108-2</x:v>
      </x:c>
      <x:c r="H9" s="99" t="str">
        <x:v>نظام حماية البيئة</x:v>
      </x:c>
      <x:c r="I9" s="99" t="n">
        <x:v>2</x:v>
      </x:c>
      <x:c r="J9" s="62" t="str">
        <x:v>assets/course-specifications/systems-source-2022/20034108-2.pdf</x:v>
      </x:c>
      <x:c r="K9" s="62" t="str">
        <x:v>الموضوع والساعات والبرنامج متقاربة، لكن الرمز والعنوان لا يطابقان الخطة الجديدة؛ سجل الحزمة صنفه صراحة no_match ولم يثبت أنه تحديث الهوية.</x:v>
      </x:c>
      <x:c r="L9" s="62" t="str">
        <x:v>assets/course-specifications/systems-source-2022/manifest.json؛ COURSE_SPECIFICATIONS_AUDIT.md</x:v>
      </x:c>
      <x:c r="M9" s="62" t="str">
        <x:v>يحتاج حسم</x:v>
      </x:c>
      <x:c r="N9" s="62" t="str"/>
    </x:row>
  </x:sheetData>
  <x:mergeCells>
    <x:mergeCell ref="A1:N1"/>
    <x:mergeCell ref="A2:N2"/>
  </x:mergeCells>
  <x:conditionalFormatting sqref="M5:M9">
    <x:cfRule type="containsText" dxfId="5" priority="1" operator="containsText" text="يحتاج حسم"/>
    <x:cfRule type="containsText" dxfId="6" priority="2" operator="containsText" text="اعتماد المرشح"/>
    <x:cfRule type="containsText" dxfId="7" priority="3" operator="containsText" text="طلب توصيف جديد"/>
  </x:conditionalFormatting>
  <x:dataValidations count="1">
    <x:dataValidation type="list" sqref="M5:M9">
      <x:formula1>"يحتاج حسم,اعتماد المرشح بعد المراجعة,طلب توصيف جديد,استبعاد المرشح"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6b9e5911504688"/>
  </x:tableParts>
</x:worksheet>
</file>